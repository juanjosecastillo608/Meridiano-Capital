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a85a567b29438ee0/Escritorio/111/MERIDIANO CAPITAL +  DESARROLLADORA INMOB/"/>
    </mc:Choice>
  </mc:AlternateContent>
  <xr:revisionPtr revIDLastSave="14" documentId="8_{F1099771-1170-4DD5-AE9D-62CE69F6CFB6}" xr6:coauthVersionLast="47" xr6:coauthVersionMax="47" xr10:uidLastSave="{CF337397-07BF-4604-AC81-0D9443CE2D47}"/>
  <bookViews>
    <workbookView xWindow="-120" yWindow="-120" windowWidth="29040" windowHeight="15840" tabRatio="500" xr2:uid="{00000000-000D-0000-FFFF-FFFF00000000}"/>
  </bookViews>
  <sheets>
    <sheet name="Supuestos" sheetId="1" r:id="rId1"/>
    <sheet name="Flujo de Fondos" sheetId="2" r:id="rId2"/>
    <sheet name="Resumen Ejecutivo" sheetId="3" r:id="rId3"/>
  </sheet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38" i="3" l="1"/>
  <c r="B37" i="3"/>
  <c r="B36" i="3"/>
  <c r="B35" i="3"/>
  <c r="B34" i="3"/>
  <c r="B20" i="3"/>
  <c r="B11" i="3"/>
  <c r="B7" i="3"/>
  <c r="B5" i="3"/>
  <c r="AT46" i="2"/>
  <c r="AS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U46" i="2"/>
  <c r="T46" i="2"/>
  <c r="S46" i="2"/>
  <c r="R46" i="2"/>
  <c r="Q46" i="2"/>
  <c r="P46" i="2"/>
  <c r="O46" i="2"/>
  <c r="N46" i="2"/>
  <c r="M46" i="2"/>
  <c r="L46" i="2"/>
  <c r="J46" i="2"/>
  <c r="I46" i="2"/>
  <c r="H46" i="2"/>
  <c r="G46" i="2"/>
  <c r="F46" i="2"/>
  <c r="E46" i="2"/>
  <c r="D46" i="2"/>
  <c r="C46" i="2"/>
  <c r="AQ42" i="2"/>
  <c r="AU42" i="2" s="1"/>
  <c r="AQ41" i="2"/>
  <c r="AS38" i="2"/>
  <c r="AR38" i="2"/>
  <c r="AQ38" i="2"/>
  <c r="AP38" i="2"/>
  <c r="AO38" i="2"/>
  <c r="AT37" i="2"/>
  <c r="AS37" i="2"/>
  <c r="AR37" i="2"/>
  <c r="AQ37" i="2"/>
  <c r="AP37" i="2"/>
  <c r="AO37" i="2"/>
  <c r="AN37" i="2"/>
  <c r="AM37" i="2"/>
  <c r="AL37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S36" i="2"/>
  <c r="R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AS35" i="2"/>
  <c r="AR35" i="2"/>
  <c r="AQ35" i="2"/>
  <c r="AP35" i="2"/>
  <c r="AO35" i="2"/>
  <c r="AU35" i="2" s="1"/>
  <c r="AT32" i="2"/>
  <c r="AS32" i="2"/>
  <c r="AR32" i="2"/>
  <c r="AQ31" i="2"/>
  <c r="AP31" i="2"/>
  <c r="AO31" i="2"/>
  <c r="AN31" i="2"/>
  <c r="AM31" i="2"/>
  <c r="AL31" i="2"/>
  <c r="AK31" i="2"/>
  <c r="AJ31" i="2"/>
  <c r="AI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O31" i="2"/>
  <c r="N31" i="2"/>
  <c r="M31" i="2"/>
  <c r="L31" i="2"/>
  <c r="K31" i="2"/>
  <c r="J31" i="2"/>
  <c r="I31" i="2"/>
  <c r="H31" i="2"/>
  <c r="G31" i="2"/>
  <c r="F31" i="2"/>
  <c r="E31" i="2"/>
  <c r="D31" i="2"/>
  <c r="C31" i="2"/>
  <c r="AQ30" i="2"/>
  <c r="AP30" i="2"/>
  <c r="AO30" i="2"/>
  <c r="AO32" i="2" s="1"/>
  <c r="AN30" i="2"/>
  <c r="AM30" i="2"/>
  <c r="AL30" i="2"/>
  <c r="AL32" i="2" s="1"/>
  <c r="AK30" i="2"/>
  <c r="AK32" i="2" s="1"/>
  <c r="AJ30" i="2"/>
  <c r="AI30" i="2"/>
  <c r="AH30" i="2"/>
  <c r="AH32" i="2" s="1"/>
  <c r="AG30" i="2"/>
  <c r="AG32" i="2" s="1"/>
  <c r="AF30" i="2"/>
  <c r="AE30" i="2"/>
  <c r="AD30" i="2"/>
  <c r="AD32" i="2" s="1"/>
  <c r="AC30" i="2"/>
  <c r="AC32" i="2" s="1"/>
  <c r="AB30" i="2"/>
  <c r="AA30" i="2"/>
  <c r="Z30" i="2"/>
  <c r="Z32" i="2" s="1"/>
  <c r="Y30" i="2"/>
  <c r="Y32" i="2" s="1"/>
  <c r="X30" i="2"/>
  <c r="W30" i="2"/>
  <c r="V30" i="2"/>
  <c r="V32" i="2" s="1"/>
  <c r="U30" i="2"/>
  <c r="U32" i="2" s="1"/>
  <c r="T30" i="2"/>
  <c r="S30" i="2"/>
  <c r="R30" i="2"/>
  <c r="R32" i="2" s="1"/>
  <c r="Q30" i="2"/>
  <c r="Q32" i="2" s="1"/>
  <c r="P30" i="2"/>
  <c r="O30" i="2"/>
  <c r="N30" i="2"/>
  <c r="N32" i="2" s="1"/>
  <c r="M30" i="2"/>
  <c r="M32" i="2" s="1"/>
  <c r="L30" i="2"/>
  <c r="K30" i="2"/>
  <c r="J30" i="2"/>
  <c r="J32" i="2" s="1"/>
  <c r="I30" i="2"/>
  <c r="H30" i="2"/>
  <c r="G30" i="2"/>
  <c r="F30" i="2"/>
  <c r="F32" i="2" s="1"/>
  <c r="E30" i="2"/>
  <c r="D30" i="2"/>
  <c r="C30" i="2"/>
  <c r="AN29" i="2"/>
  <c r="AU29" i="2" s="1"/>
  <c r="K29" i="2"/>
  <c r="D29" i="2"/>
  <c r="E28" i="2"/>
  <c r="AU28" i="2" s="1"/>
  <c r="D28" i="2"/>
  <c r="C28" i="2"/>
  <c r="AN27" i="2"/>
  <c r="AM27" i="2"/>
  <c r="AL27" i="2"/>
  <c r="AK27" i="2"/>
  <c r="AJ27" i="2"/>
  <c r="AI27" i="2"/>
  <c r="AI32" i="2" s="1"/>
  <c r="AH27" i="2"/>
  <c r="AG27" i="2"/>
  <c r="AF27" i="2"/>
  <c r="AE27" i="2"/>
  <c r="AE32" i="2" s="1"/>
  <c r="AD27" i="2"/>
  <c r="AC27" i="2"/>
  <c r="AB27" i="2"/>
  <c r="AA27" i="2"/>
  <c r="AA32" i="2" s="1"/>
  <c r="Z27" i="2"/>
  <c r="Y27" i="2"/>
  <c r="X27" i="2"/>
  <c r="W27" i="2"/>
  <c r="V27" i="2"/>
  <c r="U27" i="2"/>
  <c r="T27" i="2"/>
  <c r="S27" i="2"/>
  <c r="R27" i="2"/>
  <c r="Q27" i="2"/>
  <c r="P27" i="2"/>
  <c r="O27" i="2"/>
  <c r="N27" i="2"/>
  <c r="M27" i="2"/>
  <c r="L27" i="2"/>
  <c r="K27" i="2"/>
  <c r="J27" i="2"/>
  <c r="I27" i="2"/>
  <c r="H27" i="2"/>
  <c r="H32" i="2" s="1"/>
  <c r="G27" i="2"/>
  <c r="F27" i="2"/>
  <c r="E27" i="2"/>
  <c r="D27" i="2"/>
  <c r="C27" i="2"/>
  <c r="AT25" i="2"/>
  <c r="AS25" i="2"/>
  <c r="AR25" i="2"/>
  <c r="AQ25" i="2"/>
  <c r="AP25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AU17" i="2"/>
  <c r="C16" i="2"/>
  <c r="AU16" i="2" s="1"/>
  <c r="C15" i="2"/>
  <c r="AU15" i="2" s="1"/>
  <c r="AT12" i="2"/>
  <c r="AT13" i="2" s="1"/>
  <c r="AS12" i="2"/>
  <c r="AR12" i="2"/>
  <c r="AQ12" i="2"/>
  <c r="AP12" i="2"/>
  <c r="AU12" i="2" s="1"/>
  <c r="AS11" i="2"/>
  <c r="AS13" i="2" s="1"/>
  <c r="AR11" i="2"/>
  <c r="AR13" i="2" s="1"/>
  <c r="AQ11" i="2"/>
  <c r="AP11" i="2"/>
  <c r="AO11" i="2"/>
  <c r="AO13" i="2" s="1"/>
  <c r="AQ10" i="2"/>
  <c r="AP10" i="2"/>
  <c r="AO10" i="2"/>
  <c r="AN9" i="2"/>
  <c r="AM9" i="2"/>
  <c r="AL9" i="2"/>
  <c r="AK9" i="2"/>
  <c r="AJ9" i="2"/>
  <c r="AI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S9" i="2"/>
  <c r="R9" i="2"/>
  <c r="Q9" i="2"/>
  <c r="P9" i="2"/>
  <c r="O9" i="2"/>
  <c r="N9" i="2"/>
  <c r="M9" i="2"/>
  <c r="L9" i="2"/>
  <c r="AN8" i="2"/>
  <c r="AM8" i="2"/>
  <c r="AL8" i="2"/>
  <c r="AK8" i="2"/>
  <c r="AJ8" i="2"/>
  <c r="AI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U8" i="2"/>
  <c r="T8" i="2"/>
  <c r="S8" i="2"/>
  <c r="R8" i="2"/>
  <c r="Q8" i="2"/>
  <c r="P8" i="2"/>
  <c r="O8" i="2"/>
  <c r="N8" i="2"/>
  <c r="M8" i="2"/>
  <c r="L8" i="2"/>
  <c r="K8" i="2"/>
  <c r="AN7" i="2"/>
  <c r="AM7" i="2"/>
  <c r="AM13" i="2" s="1"/>
  <c r="AL7" i="2"/>
  <c r="AK7" i="2"/>
  <c r="AJ7" i="2"/>
  <c r="AI7" i="2"/>
  <c r="AI13" i="2" s="1"/>
  <c r="AH7" i="2"/>
  <c r="AG7" i="2"/>
  <c r="AF7" i="2"/>
  <c r="AE7" i="2"/>
  <c r="AE13" i="2" s="1"/>
  <c r="AD7" i="2"/>
  <c r="AC7" i="2"/>
  <c r="AB7" i="2"/>
  <c r="AA7" i="2"/>
  <c r="AA13" i="2" s="1"/>
  <c r="Z7" i="2"/>
  <c r="Y7" i="2"/>
  <c r="X7" i="2"/>
  <c r="W7" i="2"/>
  <c r="W13" i="2" s="1"/>
  <c r="V7" i="2"/>
  <c r="U7" i="2"/>
  <c r="T7" i="2"/>
  <c r="S7" i="2"/>
  <c r="S13" i="2" s="1"/>
  <c r="R7" i="2"/>
  <c r="Q7" i="2"/>
  <c r="P7" i="2"/>
  <c r="O7" i="2"/>
  <c r="O13" i="2" s="1"/>
  <c r="N7" i="2"/>
  <c r="M7" i="2"/>
  <c r="L7" i="2"/>
  <c r="K7" i="2"/>
  <c r="K13" i="2" s="1"/>
  <c r="J6" i="2"/>
  <c r="J13" i="2" s="1"/>
  <c r="I6" i="2"/>
  <c r="I13" i="2" s="1"/>
  <c r="H6" i="2"/>
  <c r="H13" i="2" s="1"/>
  <c r="G6" i="2"/>
  <c r="G13" i="2" s="1"/>
  <c r="F6" i="2"/>
  <c r="F13" i="2" s="1"/>
  <c r="E6" i="2"/>
  <c r="E13" i="2" s="1"/>
  <c r="D6" i="2"/>
  <c r="D13" i="2" s="1"/>
  <c r="C6" i="2"/>
  <c r="C13" i="2" s="1"/>
  <c r="B11" i="1"/>
  <c r="B6" i="3" s="1"/>
  <c r="I32" i="2" l="1"/>
  <c r="P13" i="2"/>
  <c r="X13" i="2"/>
  <c r="AF13" i="2"/>
  <c r="AN13" i="2"/>
  <c r="AU8" i="2"/>
  <c r="AU36" i="2"/>
  <c r="L13" i="2"/>
  <c r="T13" i="2"/>
  <c r="AB13" i="2"/>
  <c r="AJ13" i="2"/>
  <c r="L32" i="2"/>
  <c r="P32" i="2"/>
  <c r="T32" i="2"/>
  <c r="X32" i="2"/>
  <c r="AB32" i="2"/>
  <c r="AF32" i="2"/>
  <c r="AJ32" i="2"/>
  <c r="AU38" i="2"/>
  <c r="AP32" i="2"/>
  <c r="AP13" i="2"/>
  <c r="Q13" i="2"/>
  <c r="AC13" i="2"/>
  <c r="AK13" i="2"/>
  <c r="N13" i="2"/>
  <c r="R13" i="2"/>
  <c r="V13" i="2"/>
  <c r="Z13" i="2"/>
  <c r="AD13" i="2"/>
  <c r="AH13" i="2"/>
  <c r="AL13" i="2"/>
  <c r="AU7" i="2"/>
  <c r="U13" i="2"/>
  <c r="Y13" i="2"/>
  <c r="AG13" i="2"/>
  <c r="AU9" i="2"/>
  <c r="AQ13" i="2"/>
  <c r="AU11" i="2"/>
  <c r="C18" i="2"/>
  <c r="AU18" i="2" s="1"/>
  <c r="B24" i="3" s="1"/>
  <c r="AU31" i="2"/>
  <c r="AM32" i="2"/>
  <c r="AN32" i="2"/>
  <c r="M13" i="2"/>
  <c r="AU27" i="2"/>
  <c r="D32" i="2"/>
  <c r="AU10" i="2"/>
  <c r="E32" i="2"/>
  <c r="AU37" i="2"/>
  <c r="B20" i="1"/>
  <c r="AU6" i="2"/>
  <c r="C32" i="2"/>
  <c r="G32" i="2"/>
  <c r="K32" i="2"/>
  <c r="O32" i="2"/>
  <c r="S32" i="2"/>
  <c r="W32" i="2"/>
  <c r="AU30" i="2"/>
  <c r="AQ32" i="2"/>
  <c r="AU41" i="2"/>
  <c r="B29" i="3" s="1"/>
  <c r="B23" i="3" l="1"/>
  <c r="B22" i="3"/>
  <c r="B12" i="3"/>
  <c r="AP45" i="2"/>
  <c r="AQ44" i="2"/>
  <c r="K43" i="2"/>
  <c r="AT34" i="2"/>
  <c r="AT39" i="2" s="1"/>
  <c r="AT49" i="2" s="1"/>
  <c r="AP34" i="2"/>
  <c r="AP39" i="2" s="1"/>
  <c r="AL34" i="2"/>
  <c r="AL39" i="2" s="1"/>
  <c r="AH34" i="2"/>
  <c r="AH39" i="2" s="1"/>
  <c r="AD34" i="2"/>
  <c r="AD39" i="2" s="1"/>
  <c r="Z34" i="2"/>
  <c r="Z39" i="2" s="1"/>
  <c r="V34" i="2"/>
  <c r="V39" i="2" s="1"/>
  <c r="R34" i="2"/>
  <c r="R39" i="2" s="1"/>
  <c r="N34" i="2"/>
  <c r="N39" i="2" s="1"/>
  <c r="J34" i="2"/>
  <c r="J39" i="2" s="1"/>
  <c r="F34" i="2"/>
  <c r="F39" i="2" s="1"/>
  <c r="AL24" i="2"/>
  <c r="AH24" i="2"/>
  <c r="AD24" i="2"/>
  <c r="Z24" i="2"/>
  <c r="V24" i="2"/>
  <c r="R24" i="2"/>
  <c r="B21" i="3"/>
  <c r="AO45" i="2"/>
  <c r="AP44" i="2"/>
  <c r="AS34" i="2"/>
  <c r="AS39" i="2" s="1"/>
  <c r="AS49" i="2" s="1"/>
  <c r="AO34" i="2"/>
  <c r="AO39" i="2" s="1"/>
  <c r="AK34" i="2"/>
  <c r="AK39" i="2" s="1"/>
  <c r="AG34" i="2"/>
  <c r="AG39" i="2" s="1"/>
  <c r="AC34" i="2"/>
  <c r="AC39" i="2" s="1"/>
  <c r="Y34" i="2"/>
  <c r="Y39" i="2" s="1"/>
  <c r="U34" i="2"/>
  <c r="U39" i="2" s="1"/>
  <c r="Q34" i="2"/>
  <c r="Q39" i="2" s="1"/>
  <c r="M34" i="2"/>
  <c r="M39" i="2" s="1"/>
  <c r="I34" i="2"/>
  <c r="I39" i="2" s="1"/>
  <c r="E34" i="2"/>
  <c r="E39" i="2" s="1"/>
  <c r="AK24" i="2"/>
  <c r="AG24" i="2"/>
  <c r="AC24" i="2"/>
  <c r="B14" i="3"/>
  <c r="AR45" i="2"/>
  <c r="AO44" i="2"/>
  <c r="B13" i="3"/>
  <c r="AQ45" i="2"/>
  <c r="AR44" i="2"/>
  <c r="AQ34" i="2"/>
  <c r="AQ39" i="2" s="1"/>
  <c r="AM34" i="2"/>
  <c r="AM39" i="2" s="1"/>
  <c r="AI34" i="2"/>
  <c r="AI39" i="2" s="1"/>
  <c r="AE34" i="2"/>
  <c r="AE39" i="2" s="1"/>
  <c r="AA34" i="2"/>
  <c r="AA39" i="2" s="1"/>
  <c r="W34" i="2"/>
  <c r="W39" i="2" s="1"/>
  <c r="S34" i="2"/>
  <c r="S39" i="2" s="1"/>
  <c r="O34" i="2"/>
  <c r="O39" i="2" s="1"/>
  <c r="K34" i="2"/>
  <c r="K39" i="2" s="1"/>
  <c r="G34" i="2"/>
  <c r="G39" i="2" s="1"/>
  <c r="C34" i="2"/>
  <c r="AM24" i="2"/>
  <c r="AI24" i="2"/>
  <c r="AE24" i="2"/>
  <c r="AA24" i="2"/>
  <c r="W24" i="2"/>
  <c r="S24" i="2"/>
  <c r="O24" i="2"/>
  <c r="AN34" i="2"/>
  <c r="AN39" i="2" s="1"/>
  <c r="X34" i="2"/>
  <c r="X39" i="2" s="1"/>
  <c r="H34" i="2"/>
  <c r="H39" i="2" s="1"/>
  <c r="AN24" i="2"/>
  <c r="Y24" i="2"/>
  <c r="Q24" i="2"/>
  <c r="L24" i="2"/>
  <c r="AM23" i="2"/>
  <c r="AI23" i="2"/>
  <c r="AE23" i="2"/>
  <c r="AA23" i="2"/>
  <c r="W23" i="2"/>
  <c r="S23" i="2"/>
  <c r="O23" i="2"/>
  <c r="K23" i="2"/>
  <c r="AL21" i="2"/>
  <c r="AH21" i="2"/>
  <c r="AD21" i="2"/>
  <c r="Z21" i="2"/>
  <c r="V21" i="2"/>
  <c r="R21" i="2"/>
  <c r="N21" i="2"/>
  <c r="J21" i="2"/>
  <c r="J25" i="2" s="1"/>
  <c r="F21" i="2"/>
  <c r="F25" i="2" s="1"/>
  <c r="AK20" i="2"/>
  <c r="AG20" i="2"/>
  <c r="AC20" i="2"/>
  <c r="Y20" i="2"/>
  <c r="U20" i="2"/>
  <c r="Q20" i="2"/>
  <c r="M20" i="2"/>
  <c r="AJ34" i="2"/>
  <c r="AJ39" i="2" s="1"/>
  <c r="T34" i="2"/>
  <c r="T39" i="2" s="1"/>
  <c r="D34" i="2"/>
  <c r="D39" i="2" s="1"/>
  <c r="AJ24" i="2"/>
  <c r="X24" i="2"/>
  <c r="P24" i="2"/>
  <c r="K24" i="2"/>
  <c r="AL23" i="2"/>
  <c r="AH23" i="2"/>
  <c r="AD23" i="2"/>
  <c r="Z23" i="2"/>
  <c r="V23" i="2"/>
  <c r="R23" i="2"/>
  <c r="N23" i="2"/>
  <c r="AO21" i="2"/>
  <c r="AK21" i="2"/>
  <c r="AG21" i="2"/>
  <c r="AC21" i="2"/>
  <c r="Y21" i="2"/>
  <c r="U21" i="2"/>
  <c r="Q21" i="2"/>
  <c r="M21" i="2"/>
  <c r="I21" i="2"/>
  <c r="I25" i="2" s="1"/>
  <c r="E21" i="2"/>
  <c r="E25" i="2" s="1"/>
  <c r="AN20" i="2"/>
  <c r="AN25" i="2" s="1"/>
  <c r="AJ20" i="2"/>
  <c r="AF20" i="2"/>
  <c r="AB20" i="2"/>
  <c r="X20" i="2"/>
  <c r="X25" i="2" s="1"/>
  <c r="T20" i="2"/>
  <c r="P20" i="2"/>
  <c r="L20" i="2"/>
  <c r="AF34" i="2"/>
  <c r="AF39" i="2" s="1"/>
  <c r="P34" i="2"/>
  <c r="P39" i="2" s="1"/>
  <c r="AF24" i="2"/>
  <c r="U24" i="2"/>
  <c r="N24" i="2"/>
  <c r="AK23" i="2"/>
  <c r="AG23" i="2"/>
  <c r="AC23" i="2"/>
  <c r="Y23" i="2"/>
  <c r="U23" i="2"/>
  <c r="Q23" i="2"/>
  <c r="M23" i="2"/>
  <c r="AO22" i="2"/>
  <c r="AN21" i="2"/>
  <c r="AJ21" i="2"/>
  <c r="AF21" i="2"/>
  <c r="AB21" i="2"/>
  <c r="X21" i="2"/>
  <c r="T21" i="2"/>
  <c r="P21" i="2"/>
  <c r="L21" i="2"/>
  <c r="H21" i="2"/>
  <c r="H25" i="2" s="1"/>
  <c r="D21" i="2"/>
  <c r="D25" i="2" s="1"/>
  <c r="D49" i="2" s="1"/>
  <c r="AM20" i="2"/>
  <c r="AI20" i="2"/>
  <c r="AE20" i="2"/>
  <c r="AA20" i="2"/>
  <c r="W20" i="2"/>
  <c r="S20" i="2"/>
  <c r="S25" i="2" s="1"/>
  <c r="O20" i="2"/>
  <c r="K20" i="2"/>
  <c r="AR34" i="2"/>
  <c r="AR39" i="2" s="1"/>
  <c r="AB34" i="2"/>
  <c r="AB39" i="2" s="1"/>
  <c r="L34" i="2"/>
  <c r="L39" i="2" s="1"/>
  <c r="AB24" i="2"/>
  <c r="T24" i="2"/>
  <c r="M24" i="2"/>
  <c r="AN23" i="2"/>
  <c r="AJ23" i="2"/>
  <c r="AF23" i="2"/>
  <c r="AB23" i="2"/>
  <c r="X23" i="2"/>
  <c r="T23" i="2"/>
  <c r="P23" i="2"/>
  <c r="L23" i="2"/>
  <c r="G22" i="2"/>
  <c r="AM21" i="2"/>
  <c r="AI21" i="2"/>
  <c r="AE21" i="2"/>
  <c r="AA21" i="2"/>
  <c r="W21" i="2"/>
  <c r="S21" i="2"/>
  <c r="O21" i="2"/>
  <c r="K21" i="2"/>
  <c r="G21" i="2"/>
  <c r="G25" i="2" s="1"/>
  <c r="C21" i="2"/>
  <c r="AL20" i="2"/>
  <c r="AL25" i="2" s="1"/>
  <c r="AH20" i="2"/>
  <c r="AD20" i="2"/>
  <c r="Z20" i="2"/>
  <c r="Z25" i="2" s="1"/>
  <c r="V20" i="2"/>
  <c r="V25" i="2" s="1"/>
  <c r="R20" i="2"/>
  <c r="N20" i="2"/>
  <c r="AU32" i="2"/>
  <c r="B15" i="3" s="1"/>
  <c r="AU13" i="2"/>
  <c r="B8" i="3" s="1"/>
  <c r="H49" i="2" l="1"/>
  <c r="X49" i="2"/>
  <c r="AL49" i="2"/>
  <c r="F49" i="2"/>
  <c r="V49" i="2"/>
  <c r="S49" i="2"/>
  <c r="AN49" i="2"/>
  <c r="AR46" i="2"/>
  <c r="AI25" i="2"/>
  <c r="AI49" i="2" s="1"/>
  <c r="E49" i="2"/>
  <c r="AR49" i="2"/>
  <c r="Z49" i="2"/>
  <c r="C25" i="2"/>
  <c r="AU21" i="2"/>
  <c r="W25" i="2"/>
  <c r="W49" i="2" s="1"/>
  <c r="AM25" i="2"/>
  <c r="AM49" i="2" s="1"/>
  <c r="L25" i="2"/>
  <c r="L49" i="2" s="1"/>
  <c r="AB25" i="2"/>
  <c r="AB49" i="2" s="1"/>
  <c r="M25" i="2"/>
  <c r="M49" i="2" s="1"/>
  <c r="AC25" i="2"/>
  <c r="AC49" i="2" s="1"/>
  <c r="J49" i="2"/>
  <c r="AU23" i="2"/>
  <c r="AO46" i="2"/>
  <c r="AU44" i="2"/>
  <c r="Y25" i="2"/>
  <c r="Y49" i="2" s="1"/>
  <c r="N25" i="2"/>
  <c r="N49" i="2" s="1"/>
  <c r="AD25" i="2"/>
  <c r="AD49" i="2" s="1"/>
  <c r="G49" i="2"/>
  <c r="K25" i="2"/>
  <c r="AU20" i="2"/>
  <c r="AA25" i="2"/>
  <c r="AA49" i="2" s="1"/>
  <c r="P25" i="2"/>
  <c r="P49" i="2" s="1"/>
  <c r="AF25" i="2"/>
  <c r="AF49" i="2" s="1"/>
  <c r="I49" i="2"/>
  <c r="AO25" i="2"/>
  <c r="AO49" i="2" s="1"/>
  <c r="AU24" i="2"/>
  <c r="Q25" i="2"/>
  <c r="Q49" i="2" s="1"/>
  <c r="AG25" i="2"/>
  <c r="AG49" i="2" s="1"/>
  <c r="AP46" i="2"/>
  <c r="AP49" i="2" s="1"/>
  <c r="K46" i="2"/>
  <c r="AU43" i="2"/>
  <c r="R25" i="2"/>
  <c r="R49" i="2" s="1"/>
  <c r="AH25" i="2"/>
  <c r="AH49" i="2" s="1"/>
  <c r="AU22" i="2"/>
  <c r="O25" i="2"/>
  <c r="O49" i="2" s="1"/>
  <c r="AE25" i="2"/>
  <c r="AE49" i="2" s="1"/>
  <c r="T25" i="2"/>
  <c r="T49" i="2" s="1"/>
  <c r="AJ25" i="2"/>
  <c r="AJ49" i="2" s="1"/>
  <c r="U25" i="2"/>
  <c r="U49" i="2" s="1"/>
  <c r="AK25" i="2"/>
  <c r="AK49" i="2" s="1"/>
  <c r="C39" i="2"/>
  <c r="AU39" i="2" s="1"/>
  <c r="B16" i="3" s="1"/>
  <c r="AU34" i="2"/>
  <c r="AU45" i="2"/>
  <c r="AQ46" i="2"/>
  <c r="AQ49" i="2" s="1"/>
  <c r="B30" i="3" l="1"/>
  <c r="K49" i="2"/>
  <c r="AU25" i="2"/>
  <c r="C49" i="2"/>
  <c r="AU46" i="2"/>
  <c r="B17" i="3" s="1"/>
  <c r="C50" i="2" l="1"/>
  <c r="D50" i="2" s="1"/>
  <c r="E50" i="2" s="1"/>
  <c r="F50" i="2" s="1"/>
  <c r="G50" i="2" s="1"/>
  <c r="H50" i="2" s="1"/>
  <c r="I50" i="2" s="1"/>
  <c r="J50" i="2" s="1"/>
  <c r="K50" i="2" s="1"/>
  <c r="L50" i="2" s="1"/>
  <c r="M50" i="2" s="1"/>
  <c r="N50" i="2" s="1"/>
  <c r="O50" i="2" s="1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AH50" i="2" s="1"/>
  <c r="AI50" i="2" s="1"/>
  <c r="AJ50" i="2" s="1"/>
  <c r="AK50" i="2" s="1"/>
  <c r="AL50" i="2" s="1"/>
  <c r="AM50" i="2" s="1"/>
  <c r="AN50" i="2" s="1"/>
  <c r="AO50" i="2" s="1"/>
  <c r="AP50" i="2" s="1"/>
  <c r="AQ50" i="2" s="1"/>
  <c r="AR50" i="2" s="1"/>
  <c r="AS50" i="2" s="1"/>
  <c r="AT50" i="2" s="1"/>
  <c r="AU50" i="2" s="1"/>
  <c r="AU49" i="2"/>
  <c r="B28" i="3" l="1"/>
  <c r="B31" i="3"/>
  <c r="B27" i="3"/>
</calcChain>
</file>

<file path=xl/sharedStrings.xml><?xml version="1.0" encoding="utf-8"?>
<sst xmlns="http://schemas.openxmlformats.org/spreadsheetml/2006/main" count="307" uniqueCount="229">
  <si>
    <t>FLUJO DE FONDOS — FIDEICOMISO INMOBILIARIO</t>
  </si>
  <si>
    <t>Hoja de Supuestos y Parámetros del Modelo</t>
  </si>
  <si>
    <t xml:space="preserve">  PARÁMETROS GENERALES DEL PROYECTO</t>
  </si>
  <si>
    <t>Mes de inicio de preventa (mes 1 = mes 1 del modelo)</t>
  </si>
  <si>
    <t>La preventa arranca en el mes 1</t>
  </si>
  <si>
    <t>Mes de inicio de obra (mes del modelo)</t>
  </si>
  <si>
    <t>Obra comienza mes 9 (8 meses de preventa)</t>
  </si>
  <si>
    <t>Duración de la obra (meses)</t>
  </si>
  <si>
    <t>30 meses de ejecución</t>
  </si>
  <si>
    <t>Mes de entrega / cierre del fideicomiso</t>
  </si>
  <si>
    <t>Mes 9 inicio obra + 30 meses + 3 meses cierre</t>
  </si>
  <si>
    <t>Total de unidades del proyecto</t>
  </si>
  <si>
    <t>Edificio de 80 unidades</t>
  </si>
  <si>
    <t>Superficie promedio por unidad (m²)</t>
  </si>
  <si>
    <t>Mix 1, 2 y 3 ambientes</t>
  </si>
  <si>
    <t>Superficie total vendible (m²) — calculado</t>
  </si>
  <si>
    <t>Total m² vendibles</t>
  </si>
  <si>
    <t xml:space="preserve">  TERRENO E INVERSORES INICIALES</t>
  </si>
  <si>
    <t>Costo del terreno (USD)</t>
  </si>
  <si>
    <t>Inversor aporta 100% del terreno</t>
  </si>
  <si>
    <t>TIR objetivo del inversor de terreno (% anual)</t>
  </si>
  <si>
    <t>Retorno mínimo exigido</t>
  </si>
  <si>
    <t>Mes de devolución al inversor de terreno</t>
  </si>
  <si>
    <t>Previo al cierre del fideicomiso</t>
  </si>
  <si>
    <t xml:space="preserve">  COSTOS DE CONSTRUCCIÓN Y DESARROLLO</t>
  </si>
  <si>
    <t>Costo de construcción por m² (USD)</t>
  </si>
  <si>
    <t>Hard cost — materiales + mano de obra</t>
  </si>
  <si>
    <t>Costo total de construcción (USD) — calculado</t>
  </si>
  <si>
    <t>Superficie vendible x costo por m2</t>
  </si>
  <si>
    <t>Soft costs: honorarios arquitecto (% sobre construcción)</t>
  </si>
  <si>
    <t>Diseño y dirección de obra</t>
  </si>
  <si>
    <t>Soft costs: permisos y habilitaciones (% sobre construcción)</t>
  </si>
  <si>
    <t>Municipalidad y registros</t>
  </si>
  <si>
    <t>Soft costs: gerenciamiento de obra (% sobre construcción)</t>
  </si>
  <si>
    <t>Inspector + coordinación interna</t>
  </si>
  <si>
    <t>Contingencia de obra (% sobre construcción)</t>
  </si>
  <si>
    <t>Colchón ante imprevistos</t>
  </si>
  <si>
    <t>Distribución de egresos de obra</t>
  </si>
  <si>
    <t>Ver curva S — tabla en FF</t>
  </si>
  <si>
    <t xml:space="preserve">  INVERSORES DE CAPITAL DE OBRA (50% INICIO DE OBRA)</t>
  </si>
  <si>
    <t>% del costo total de obra aportado por inversores</t>
  </si>
  <si>
    <t>Aportan el 50% del costo de construcción</t>
  </si>
  <si>
    <t>TIR objetivo inversores de obra (% anual)</t>
  </si>
  <si>
    <t>Retorno preferente sobre capital aportado</t>
  </si>
  <si>
    <t>Retorno preferente adicional sobre excedente (%)</t>
  </si>
  <si>
    <t>% del excedente que va a inversores</t>
  </si>
  <si>
    <t>Mes de inicio de devolución a inversores de obra</t>
  </si>
  <si>
    <t>Con las escrituraciones</t>
  </si>
  <si>
    <t xml:space="preserve">  INGRESOS Y POLÍTICA DE VENTAS</t>
  </si>
  <si>
    <t>Precio de venta promedio por m² en preventa (USD)</t>
  </si>
  <si>
    <t>Precio de lanzamiento</t>
  </si>
  <si>
    <t>Precio de venta promedio por m² en obra (USD)</t>
  </si>
  <si>
    <t>Precio en etapa de construcción</t>
  </si>
  <si>
    <t>Precio de venta promedio por m² en entrega (USD)</t>
  </si>
  <si>
    <t>Precio al terminar obra</t>
  </si>
  <si>
    <t>Unidades en preventa (meses 1-8)</t>
  </si>
  <si>
    <t>30% del total en preventa</t>
  </si>
  <si>
    <t>Unidades vendidas durante obra (meses 9-38)</t>
  </si>
  <si>
    <t>60% durante obra</t>
  </si>
  <si>
    <t>Unidades vendidas en entrega / post-obra</t>
  </si>
  <si>
    <t>10% restante</t>
  </si>
  <si>
    <t>Estructura de cobro — reserva (% del precio)</t>
  </si>
  <si>
    <t>Al firmar la reserva</t>
  </si>
  <si>
    <t>Estructura de cobro — cuotas durante obra (% precio)</t>
  </si>
  <si>
    <t>En cuotas mensuales durante la obra</t>
  </si>
  <si>
    <t>Estructura de cobro — saldo escritura (% precio)</t>
  </si>
  <si>
    <t>Al momento de escriturar</t>
  </si>
  <si>
    <t>Tasa de cancelación de boletos (% del total)</t>
  </si>
  <si>
    <t>Rescisiones estimadas</t>
  </si>
  <si>
    <t xml:space="preserve">  COSTOS DE MARKETING Y COMERCIALIZACIÓN</t>
  </si>
  <si>
    <t>Comisión canal de ventas interno (% sobre precio)</t>
  </si>
  <si>
    <t>Equipo propio</t>
  </si>
  <si>
    <t>Comisión red de brokers / franquicias (% sobre precio)</t>
  </si>
  <si>
    <t>Canal externo</t>
  </si>
  <si>
    <t>Mix ventas canal interno (% de unidades)</t>
  </si>
  <si>
    <t>40% por canal propio</t>
  </si>
  <si>
    <t>Presupuesto de marketing digital y producción (USD)</t>
  </si>
  <si>
    <t>Campaña total del proyecto</t>
  </si>
  <si>
    <t>Showroom y materiales de venta (USD)</t>
  </si>
  <si>
    <t>Producción inicial</t>
  </si>
  <si>
    <t>Eventos de lanzamiento y relaciones públicas (USD)</t>
  </si>
  <si>
    <t>Lanzamiento y hitos de obra</t>
  </si>
  <si>
    <t xml:space="preserve">  COSTOS FINANCIEROS Y ADMINISTRATIVOS</t>
  </si>
  <si>
    <t>Tasa mensual deuda bancaria (si se utiliza)</t>
  </si>
  <si>
    <t>18% anual — solo si se activa</t>
  </si>
  <si>
    <t>Honorarios del fiduciario (% sobre activos anuales)</t>
  </si>
  <si>
    <t>Fee de administración del fideicomiso</t>
  </si>
  <si>
    <t>Gastos legales y notariales por escritura (USD/unid)</t>
  </si>
  <si>
    <t>Promedio por unidad escriturada</t>
  </si>
  <si>
    <t>Impuesto de sellos (% sobre precio de venta)</t>
  </si>
  <si>
    <t>Varía por jurisdicción</t>
  </si>
  <si>
    <t>Impuesto a las ganancias / ITI estimado (% utilidad)</t>
  </si>
  <si>
    <t>Sobre resultado del fideicomiso</t>
  </si>
  <si>
    <t>Gastos administrativos del proyecto (USD/mes)</t>
  </si>
  <si>
    <t>Gerenciamiento, contabilidad, etc.</t>
  </si>
  <si>
    <t>Gastos de escrituración adicionales (% precio venta)</t>
  </si>
  <si>
    <t>Certificados, registros, etc.</t>
  </si>
  <si>
    <t>FLUJO DE FONDOS PROYECTADO — FIDEICOMISO INMOBILIARIO</t>
  </si>
  <si>
    <t>Moneda: USD  |  Modelo mensual  |  Supuestos editables en hoja 'Supuestos'</t>
  </si>
  <si>
    <t>CONCEPTO</t>
  </si>
  <si>
    <t>Unidad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</si>
  <si>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</si>
  <si>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</si>
  <si>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</si>
  <si>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</si>
  <si>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</si>
  <si>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</si>
  <si>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</si>
  <si>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</si>
  <si>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</si>
  <si>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</si>
  <si>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</si>
  <si>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</si>
  <si>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</si>
  <si>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</si>
  <si>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</si>
  <si>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</si>
  <si>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</si>
  <si>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</si>
  <si>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Mes 19</t>
  </si>
  <si>
    <t>Mes 20</t>
  </si>
  <si>
    <t>Mes 21</t>
  </si>
  <si>
    <t>Mes 22</t>
  </si>
  <si>
    <t>Mes 23</t>
  </si>
  <si>
    <t>Mes 24</t>
  </si>
  <si>
    <t>Mes 25</t>
  </si>
  <si>
    <t>Mes 26</t>
  </si>
  <si>
    <t>Mes 27</t>
  </si>
  <si>
    <t>Mes 28</t>
  </si>
  <si>
    <t>Mes 29</t>
  </si>
  <si>
    <t>Mes 30</t>
  </si>
  <si>
    <t>Mes 31</t>
  </si>
  <si>
    <t>Mes 32</t>
  </si>
  <si>
    <t>Mes 33</t>
  </si>
  <si>
    <t>Mes 34</t>
  </si>
  <si>
    <t>Mes 35</t>
  </si>
  <si>
    <t>Mes 36</t>
  </si>
  <si>
    <t>Mes 37</t>
  </si>
  <si>
    <t>Mes 38</t>
  </si>
  <si>
    <t>Mes 39</t>
  </si>
  <si>
    <t>Mes 40</t>
  </si>
  <si>
    <t>Mes 41</t>
  </si>
  <si>
    <t>Mes 42</t>
  </si>
  <si>
    <t>Mes 43</t>
  </si>
  <si>
    <t>Mes 44</t>
  </si>
  <si>
    <t>TOTAL</t>
  </si>
  <si>
    <t>Etapa del proyecto</t>
  </si>
  <si>
    <t>PREVENTA</t>
  </si>
  <si>
    <t>CONSTRUCCIÓN</t>
  </si>
  <si>
    <t>ENTREGA</t>
  </si>
  <si>
    <t>CIERRE</t>
  </si>
  <si>
    <t>A. INGRESOS</t>
  </si>
  <si>
    <t xml:space="preserve">    A1. Reservas — preventa (meses 1-8)</t>
  </si>
  <si>
    <t>USD</t>
  </si>
  <si>
    <t xml:space="preserve">    A2. Cuotas en obra — unidades en preventa</t>
  </si>
  <si>
    <t xml:space="preserve">    A3. Reservas — unidades vendidas en obra</t>
  </si>
  <si>
    <t xml:space="preserve">    A4. Cuotas en obra — unidades vendidas en obra</t>
  </si>
  <si>
    <t xml:space="preserve">    A5. Saldo escrituración — unidades preventa</t>
  </si>
  <si>
    <t xml:space="preserve">    A6. Saldo escrituración — unidades vendidas en obra</t>
  </si>
  <si>
    <t xml:space="preserve">    A7. Ventas y escrituración — unidades post-obra</t>
  </si>
  <si>
    <t>SUBTOTAL INGRESOS BRUTOS</t>
  </si>
  <si>
    <t>B. EGRESOS — INVERSIÓN INICIAL (TERRENO E INICIO)</t>
  </si>
  <si>
    <t xml:space="preserve">    B1. Compra del terreno (aportado por inversor)</t>
  </si>
  <si>
    <t xml:space="preserve">    B2. Due diligence, estudios y gastos previos</t>
  </si>
  <si>
    <t xml:space="preserve">    B3. Aporte inversores de obra (50% costo construcción, mes 9)</t>
  </si>
  <si>
    <t>SUBTOTAL EGRESOS INVERSIÓN INICIAL</t>
  </si>
  <si>
    <t>C. EGRESOS — CONSTRUCCIÓN Y OBRA (CURVA S)</t>
  </si>
  <si>
    <t xml:space="preserve">    C1. Costo de construcción (hard cost — curva S)</t>
  </si>
  <si>
    <t xml:space="preserve">    C2. Honorarios arquitecto y dirección de obra</t>
  </si>
  <si>
    <t xml:space="preserve">    C3. Permisos, visados y habilitaciones municipales</t>
  </si>
  <si>
    <t xml:space="preserve">    C4. Gerenciamiento e inspección de obra</t>
  </si>
  <si>
    <t xml:space="preserve">    C5. Contingencia de obra (colchón imprevistos)</t>
  </si>
  <si>
    <t>SUBTOTAL EGRESOS DE CONSTRUCCIÓN</t>
  </si>
  <si>
    <t>D. EGRESOS — MARKETING, VENTAS Y COMERCIALIZACIÓN</t>
  </si>
  <si>
    <t xml:space="preserve">    D1. Marketing digital — campaña total del proyecto</t>
  </si>
  <si>
    <t xml:space="preserve">    D2. Showroom, renders, maqueta y materiales de venta</t>
  </si>
  <si>
    <t xml:space="preserve">    D3. Eventos de lanzamiento y relaciones públicas</t>
  </si>
  <si>
    <t xml:space="preserve">    D4. Comisiones equipo interno (% sobre precio de venta)</t>
  </si>
  <si>
    <t xml:space="preserve">    D5. Comisiones red de brokers y franquicias (canal externo)</t>
  </si>
  <si>
    <t>SUBTOTAL EGRESOS MARKETING Y VENTAS</t>
  </si>
  <si>
    <t>E. EGRESOS — FINANCIEROS, LEGALES Y ADMINISTRATIVOS</t>
  </si>
  <si>
    <t xml:space="preserve">    E1. Honorarios del fiduciario (fee anual sobre activos)</t>
  </si>
  <si>
    <t xml:space="preserve">    E2. Gastos legales y notariales — escrituración</t>
  </si>
  <si>
    <t xml:space="preserve">    E3. Impuesto de sellos sobre operaciones</t>
  </si>
  <si>
    <t xml:space="preserve">    E4. Gastos administrativos del proyecto (mensual)</t>
  </si>
  <si>
    <t xml:space="preserve">    E5. Gastos adicionales de escrituración (registros, certificados)</t>
  </si>
  <si>
    <t>SUBTOTAL EGRESOS FINANCIEROS Y ADMINISTRATIVOS</t>
  </si>
  <si>
    <t>F. RETORNO A INVERSORES</t>
  </si>
  <si>
    <t xml:space="preserve">    F1. Devolución del capital al inversor del terreno (mes 41)</t>
  </si>
  <si>
    <t xml:space="preserve">    F2. Retorno preferente — inversor del terreno (TIR 18% a/a)</t>
  </si>
  <si>
    <t xml:space="preserve">    F3. Aporte inversores de obra (ingreso mes 9 — 50% costo construcción)</t>
  </si>
  <si>
    <t xml:space="preserve">    F4. Devolución del capital a inversores de obra (meses 39-42)</t>
  </si>
  <si>
    <t xml:space="preserve">    F5. Retorno preferente inversores de obra (TIR 20% a/a)</t>
  </si>
  <si>
    <t>SUBTOTAL RETORNO A INVERSORES (neto)</t>
  </si>
  <si>
    <t>G. RESULTADO NETO DEL FIDEICOMISO</t>
  </si>
  <si>
    <t>G1. FLUJO NETO DEL PERÍODO</t>
  </si>
  <si>
    <t>G2. SALDO ACUMULADO (CAJA DEL FIDEICOMISO)</t>
  </si>
  <si>
    <t>RESUMEN EJECUTIVO DEL FIDEICOMISO INMOBILIARIO</t>
  </si>
  <si>
    <t>Principales indicadores del proyecto — valores calculados del modelo</t>
  </si>
  <si>
    <t xml:space="preserve">  TAMAÑO Y ESTRUCTURA DEL PROYECTO</t>
  </si>
  <si>
    <t>Total de unidades</t>
  </si>
  <si>
    <t>Superficie vendible total (m²)</t>
  </si>
  <si>
    <t>Precio promedio ponderado por m² (USD)</t>
  </si>
  <si>
    <t>Ingreso bruto total proyectado (USD)</t>
  </si>
  <si>
    <t xml:space="preserve">  ESTRUCTURA DE COSTOS TOTALES (USD)</t>
  </si>
  <si>
    <t>Costo del terreno</t>
  </si>
  <si>
    <t>Costo de construcción total (hard cost)</t>
  </si>
  <si>
    <t>Soft costs totales (arquitecto + permisos + gerenciamiento)</t>
  </si>
  <si>
    <t>Contingencia de obra</t>
  </si>
  <si>
    <t>Marketing y ventas</t>
  </si>
  <si>
    <t>Costos financieros y administrativos</t>
  </si>
  <si>
    <t>Retorno total a inversores (terreno + obra)</t>
  </si>
  <si>
    <t xml:space="preserve">  ESTRUCTURA DE FINANCIAMIENTO (USD)</t>
  </si>
  <si>
    <t>Capital aportado por inversor del terreno</t>
  </si>
  <si>
    <t>Capital aportado por inversores de obra (50%)</t>
  </si>
  <si>
    <t>Capital total de inversores externos</t>
  </si>
  <si>
    <t>Financiamiento vía preventas (ingresos meses 1-8)</t>
  </si>
  <si>
    <t>Capital propio del desarrollador (saldo de financiamiento)</t>
  </si>
  <si>
    <t xml:space="preserve">  RESULTADO Y RENTABILIDAD</t>
  </si>
  <si>
    <t>Resultado neto del fideicomiso (USD)</t>
  </si>
  <si>
    <t>Margen neto sobre ventas (%)</t>
  </si>
  <si>
    <t>Retorno total al inversor del terreno (capital + renta)</t>
  </si>
  <si>
    <t>Retorno total a inversores de obra (capital + renta)</t>
  </si>
  <si>
    <t>Excedente para el desarrollador (USD)</t>
  </si>
  <si>
    <t xml:space="preserve">  PLAZOS CLAVE</t>
  </si>
  <si>
    <t>Inicio de preventa (mes del modelo)</t>
  </si>
  <si>
    <t>Inicio de construcción (mes del modelo)</t>
  </si>
  <si>
    <t>Mes de cierre del fideicomiso</t>
  </si>
  <si>
    <t>Duración total del proyecto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</si>
</sst>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;\-"/>
    <numFmt numFmtId="165" formatCode="0.0%;\-0.0%;\-"/>
  </numFmts>
  <fonts count="3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10"/>
      <color rgb="FF2E6DB4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0000FF"/>
      <name val="Arial"/>
      <charset val="1"/>
    </font>
    <font>
      <i/>
      <sz val="9"/>
      <color rgb="FF888888"/>
      <name val="Arial"/>
      <charset val="1"/>
    </font>
    <font>
      <i/>
      <sz val="9"/>
      <color rgb="FF2E6DB4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8"/>
      <color rgb="FFFFFFFF"/>
      <name val="Arial"/>
      <charset val="1"/>
    </font>
    <font>
      <b/>
      <sz val="9"/>
      <color rgb="FF1B3A6B"/>
      <name val="Arial"/>
      <charset val="1"/>
    </font>
    <font>
      <b/>
      <sz val="7"/>
      <color rgb="FF7A5C00"/>
      <name val="Arial"/>
      <charset val="1"/>
    </font>
    <font>
      <b/>
      <sz val="7"/>
      <color rgb="FF0D5B6B"/>
      <name val="Arial"/>
      <charset val="1"/>
    </font>
    <font>
      <b/>
      <sz val="7"/>
      <color rgb="FF1A6B3C"/>
      <name val="Arial"/>
      <charset val="1"/>
    </font>
    <font>
      <b/>
      <sz val="7"/>
      <color rgb="FF2E6DB4"/>
      <name val="Arial"/>
      <charset val="1"/>
    </font>
    <font>
      <sz val="9"/>
      <color rgb="FF000000"/>
      <name val="Arial"/>
      <charset val="1"/>
    </font>
    <font>
      <i/>
      <sz val="8"/>
      <color rgb="FF888888"/>
      <name val="Arial"/>
      <charset val="1"/>
    </font>
    <font>
      <b/>
      <sz val="9"/>
      <color rgb="FF000000"/>
      <name val="Arial"/>
      <charset val="1"/>
    </font>
    <font>
      <b/>
      <sz val="9"/>
      <color rgb="FF1A6B3C"/>
      <name val="Arial"/>
      <charset val="1"/>
    </font>
    <font>
      <sz val="9"/>
      <color rgb="FF8B1A1A"/>
      <name val="Arial"/>
      <charset val="1"/>
    </font>
    <font>
      <b/>
      <sz val="9"/>
      <color rgb="FF8B1A1A"/>
      <name val="Arial"/>
      <charset val="1"/>
    </font>
    <font>
      <b/>
      <sz val="9"/>
      <color rgb="FF0D5B6B"/>
      <name val="Arial"/>
      <charset val="1"/>
    </font>
    <font>
      <b/>
      <sz val="9"/>
      <color rgb="FF7A5C00"/>
      <name val="Arial"/>
      <charset val="1"/>
    </font>
    <font>
      <sz val="9"/>
      <color rgb="FF1A6B3C"/>
      <name val="Arial"/>
      <charset val="1"/>
    </font>
    <font>
      <b/>
      <sz val="10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8B1A1A"/>
      <name val="Arial"/>
      <charset val="1"/>
    </font>
    <font>
      <b/>
      <sz val="10"/>
      <color rgb="FF8B1A1A"/>
      <name val="Arial"/>
      <charset val="1"/>
    </font>
    <font>
      <b/>
      <sz val="10"/>
      <color rgb="FF1A6B3C"/>
      <name val="Arial"/>
      <charset val="1"/>
    </font>
  </fonts>
  <fills count="14">
    <fill>
      <patternFill patternType="none"/>
    </fill>
    <fill>
      <patternFill patternType="gray125"/>
    </fill>
    <fill>
      <patternFill patternType="solid">
        <fgColor rgb="FF1B3A6B"/>
        <bgColor rgb="FF333399"/>
      </patternFill>
    </fill>
    <fill>
      <patternFill patternType="solid">
        <fgColor rgb="FFE8EEF8"/>
        <bgColor rgb="FFE5F4F7"/>
      </patternFill>
    </fill>
    <fill>
      <patternFill patternType="solid">
        <fgColor rgb="FFF4F6FA"/>
        <bgColor rgb="FFE8F5EE"/>
      </patternFill>
    </fill>
    <fill>
      <patternFill patternType="solid">
        <fgColor rgb="FFFFFFFF"/>
        <bgColor rgb="FFF4F6FA"/>
      </patternFill>
    </fill>
    <fill>
      <patternFill patternType="solid">
        <fgColor rgb="FF0D5B6B"/>
        <bgColor rgb="FF1A6B3C"/>
      </patternFill>
    </fill>
    <fill>
      <patternFill patternType="solid">
        <fgColor rgb="FFFFF8E0"/>
        <bgColor rgb="FFFFF0F0"/>
      </patternFill>
    </fill>
    <fill>
      <patternFill patternType="solid">
        <fgColor rgb="FFE5F4F7"/>
        <bgColor rgb="FFE8F5EE"/>
      </patternFill>
    </fill>
    <fill>
      <patternFill patternType="solid">
        <fgColor rgb="FFE8F5EE"/>
        <bgColor rgb="FFE5F4F7"/>
      </patternFill>
    </fill>
    <fill>
      <patternFill patternType="solid">
        <fgColor rgb="FF1A6B3C"/>
        <bgColor rgb="FF0D5B6B"/>
      </patternFill>
    </fill>
    <fill>
      <patternFill patternType="solid">
        <fgColor rgb="FF8B1A1A"/>
        <bgColor rgb="FF800000"/>
      </patternFill>
    </fill>
    <fill>
      <patternFill patternType="solid">
        <fgColor rgb="FFFFF0F0"/>
        <bgColor rgb="FFFFF8E0"/>
      </patternFill>
    </fill>
    <fill>
      <patternFill patternType="solid">
        <fgColor rgb="FF7A5C00"/>
        <bgColor rgb="FF993366"/>
      </patternFill>
    </fill>
  </fills>
  <borders count="6">
    <border>
      <left/>
      <right/>
      <top/>
      <bottom/>
      <diagonal/>
    </border>
    <border>
      <left style="thin">
        <color rgb="FFD0D8E8"/>
      </left>
      <right/>
      <top style="thin">
        <color rgb="FFD0D8E8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thin">
        <color rgb="FFD0D8E8"/>
      </top>
      <bottom style="thin">
        <color rgb="FFD0D8E8"/>
      </bottom>
      <diagonal/>
    </border>
    <border>
      <left style="medium">
        <color rgb="FF1B3A6B"/>
      </left>
      <right style="medium">
        <color rgb="FF1B3A6B"/>
      </right>
      <top style="medium">
        <color rgb="FF1B3A6B"/>
      </top>
      <bottom style="medium">
        <color rgb="FF1B3A6B"/>
      </bottom>
      <diagonal/>
    </border>
    <border>
      <left style="medium">
        <color rgb="FF1B3A6B"/>
      </left>
      <right style="medium">
        <color rgb="FF1B3A6B"/>
      </right>
      <top style="thin">
        <color rgb="FFD0D8E8"/>
      </top>
      <bottom style="thin">
        <color rgb="FFD0D8E8"/>
      </bottom>
      <diagonal/>
    </border>
    <border>
      <left style="thin">
        <color rgb="FFD0D8E8"/>
      </left>
      <right style="thin">
        <color rgb="FFD0D8E8"/>
      </right>
      <top style="medium">
        <color rgb="FF1B3A6B"/>
      </top>
      <bottom style="medium">
        <color rgb="FF1B3A6B"/>
      </bottom>
      <diagonal/>
    </border>
  </borders>
  <cellStyleXfs count="1">
    <xf numFmtId="0" fontId="0" fillId="0" borderId="0"/>
  </cellStyleXfs>
  <cellXfs count="62">
    <xf numFmtId="0" fontId="0" fillId="0" borderId="0" xfId="0"/>
    <xf numFmtId="164" fontId="29" fillId="3" borderId="1" xfId="0" applyNumberFormat="1" applyFont="1" applyFill="1" applyBorder="1" applyAlignment="1">
      <alignment horizontal="right" vertical="center"/>
    </xf>
    <xf numFmtId="164" fontId="28" fillId="3" borderId="1" xfId="0" applyNumberFormat="1" applyFont="1" applyFill="1" applyBorder="1" applyAlignment="1">
      <alignment horizontal="right" vertical="center"/>
    </xf>
    <xf numFmtId="164" fontId="27" fillId="5" borderId="1" xfId="0" applyNumberFormat="1" applyFont="1" applyFill="1" applyBorder="1" applyAlignment="1">
      <alignment horizontal="right" vertical="center"/>
    </xf>
    <xf numFmtId="164" fontId="26" fillId="3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6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7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4" borderId="2" xfId="0" applyFont="1" applyFill="1" applyBorder="1" applyAlignment="1">
      <alignment horizontal="left" vertical="center"/>
    </xf>
    <xf numFmtId="164" fontId="5" fillId="5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left" vertical="center"/>
    </xf>
    <xf numFmtId="165" fontId="5" fillId="5" borderId="2" xfId="0" applyNumberFormat="1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9" fillId="6" borderId="3" xfId="0" applyFont="1" applyFill="1" applyBorder="1" applyAlignment="1">
      <alignment horizontal="center" vertical="center"/>
    </xf>
    <xf numFmtId="0" fontId="11" fillId="4" borderId="0" xfId="0" applyFont="1" applyFill="1"/>
    <xf numFmtId="0" fontId="0" fillId="4" borderId="0" xfId="0" applyFill="1"/>
    <xf numFmtId="0" fontId="12" fillId="7" borderId="2" xfId="0" applyFont="1" applyFill="1" applyBorder="1" applyAlignment="1">
      <alignment horizontal="center" vertical="center"/>
    </xf>
    <xf numFmtId="0" fontId="13" fillId="8" borderId="2" xfId="0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0" fillId="10" borderId="0" xfId="0" applyFill="1"/>
    <xf numFmtId="0" fontId="16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center" vertical="center"/>
    </xf>
    <xf numFmtId="164" fontId="16" fillId="5" borderId="2" xfId="0" applyNumberFormat="1" applyFont="1" applyFill="1" applyBorder="1" applyAlignment="1">
      <alignment horizontal="right" vertical="center"/>
    </xf>
    <xf numFmtId="164" fontId="18" fillId="9" borderId="4" xfId="0" applyNumberFormat="1" applyFont="1" applyFill="1" applyBorder="1" applyAlignment="1">
      <alignment horizontal="right" vertical="center"/>
    </xf>
    <xf numFmtId="0" fontId="18" fillId="9" borderId="0" xfId="0" applyFont="1" applyFill="1" applyAlignment="1">
      <alignment horizontal="left" vertical="center"/>
    </xf>
    <xf numFmtId="164" fontId="19" fillId="9" borderId="2" xfId="0" applyNumberFormat="1" applyFont="1" applyFill="1" applyBorder="1" applyAlignment="1">
      <alignment horizontal="right" vertical="center"/>
    </xf>
    <xf numFmtId="0" fontId="0" fillId="11" borderId="0" xfId="0" applyFill="1"/>
    <xf numFmtId="164" fontId="20" fillId="5" borderId="2" xfId="0" applyNumberFormat="1" applyFont="1" applyFill="1" applyBorder="1" applyAlignment="1">
      <alignment horizontal="right" vertical="center"/>
    </xf>
    <xf numFmtId="164" fontId="18" fillId="12" borderId="4" xfId="0" applyNumberFormat="1" applyFont="1" applyFill="1" applyBorder="1" applyAlignment="1">
      <alignment horizontal="right" vertical="center"/>
    </xf>
    <xf numFmtId="0" fontId="18" fillId="12" borderId="0" xfId="0" applyFont="1" applyFill="1" applyAlignment="1">
      <alignment horizontal="left" vertical="center"/>
    </xf>
    <xf numFmtId="164" fontId="21" fillId="12" borderId="2" xfId="0" applyNumberFormat="1" applyFont="1" applyFill="1" applyBorder="1" applyAlignment="1">
      <alignment horizontal="right" vertical="center"/>
    </xf>
    <xf numFmtId="0" fontId="0" fillId="6" borderId="0" xfId="0" applyFill="1"/>
    <xf numFmtId="164" fontId="18" fillId="8" borderId="4" xfId="0" applyNumberFormat="1" applyFont="1" applyFill="1" applyBorder="1" applyAlignment="1">
      <alignment horizontal="right" vertical="center"/>
    </xf>
    <xf numFmtId="0" fontId="18" fillId="8" borderId="0" xfId="0" applyFont="1" applyFill="1" applyAlignment="1">
      <alignment horizontal="left" vertical="center"/>
    </xf>
    <xf numFmtId="164" fontId="22" fillId="8" borderId="2" xfId="0" applyNumberFormat="1" applyFont="1" applyFill="1" applyBorder="1" applyAlignment="1">
      <alignment horizontal="right" vertical="center"/>
    </xf>
    <xf numFmtId="0" fontId="0" fillId="13" borderId="0" xfId="0" applyFill="1"/>
    <xf numFmtId="164" fontId="18" fillId="7" borderId="4" xfId="0" applyNumberFormat="1" applyFont="1" applyFill="1" applyBorder="1" applyAlignment="1">
      <alignment horizontal="right" vertical="center"/>
    </xf>
    <xf numFmtId="0" fontId="18" fillId="7" borderId="0" xfId="0" applyFont="1" applyFill="1" applyAlignment="1">
      <alignment horizontal="left" vertical="center"/>
    </xf>
    <xf numFmtId="164" fontId="23" fillId="7" borderId="2" xfId="0" applyNumberFormat="1" applyFont="1" applyFill="1" applyBorder="1" applyAlignment="1">
      <alignment horizontal="right" vertical="center"/>
    </xf>
    <xf numFmtId="0" fontId="0" fillId="2" borderId="0" xfId="0" applyFill="1"/>
    <xf numFmtId="164" fontId="18" fillId="3" borderId="4" xfId="0" applyNumberFormat="1" applyFont="1" applyFill="1" applyBorder="1" applyAlignment="1">
      <alignment horizontal="right" vertical="center"/>
    </xf>
    <xf numFmtId="0" fontId="18" fillId="3" borderId="0" xfId="0" applyFont="1" applyFill="1" applyAlignment="1">
      <alignment horizontal="left" vertical="center"/>
    </xf>
    <xf numFmtId="164" fontId="11" fillId="3" borderId="2" xfId="0" applyNumberFormat="1" applyFont="1" applyFill="1" applyBorder="1" applyAlignment="1">
      <alignment horizontal="right" vertical="center"/>
    </xf>
    <xf numFmtId="164" fontId="24" fillId="5" borderId="2" xfId="0" applyNumberFormat="1" applyFont="1" applyFill="1" applyBorder="1" applyAlignment="1">
      <alignment horizontal="right" vertical="center"/>
    </xf>
    <xf numFmtId="164" fontId="18" fillId="3" borderId="5" xfId="0" applyNumberFormat="1" applyFont="1" applyFill="1" applyBorder="1" applyAlignment="1">
      <alignment horizontal="right" vertical="center"/>
    </xf>
    <xf numFmtId="164" fontId="8" fillId="2" borderId="3" xfId="0" applyNumberFormat="1" applyFont="1" applyFill="1" applyBorder="1" applyAlignment="1">
      <alignment horizontal="right" vertical="center"/>
    </xf>
    <xf numFmtId="164" fontId="18" fillId="9" borderId="2" xfId="0" applyNumberFormat="1" applyFont="1" applyFill="1" applyBorder="1" applyAlignment="1">
      <alignment horizontal="right" vertical="center"/>
    </xf>
    <xf numFmtId="164" fontId="8" fillId="10" borderId="3" xfId="0" applyNumberFormat="1" applyFont="1" applyFill="1" applyBorder="1" applyAlignment="1">
      <alignment horizontal="right" vertical="center"/>
    </xf>
    <xf numFmtId="0" fontId="25" fillId="3" borderId="2" xfId="0" applyFont="1" applyFill="1" applyBorder="1" applyAlignment="1">
      <alignment horizontal="left" vertical="center"/>
    </xf>
    <xf numFmtId="165" fontId="29" fillId="3" borderId="1" xfId="0" applyNumberFormat="1" applyFont="1" applyFill="1" applyBorder="1" applyAlignment="1">
      <alignment horizontal="right" vertical="center"/>
    </xf>
    <xf numFmtId="164" fontId="25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A6B3C"/>
      <rgbColor rgb="FF000080"/>
      <rgbColor rgb="FF7A5C00"/>
      <rgbColor rgb="FF800080"/>
      <rgbColor rgb="FF0D5B6B"/>
      <rgbColor rgb="FFC0C0C0"/>
      <rgbColor rgb="FF888888"/>
      <rgbColor rgb="FF9999FF"/>
      <rgbColor rgb="FF993366"/>
      <rgbColor rgb="FFFFF8E0"/>
      <rgbColor rgb="FFE5F4F7"/>
      <rgbColor rgb="FF660066"/>
      <rgbColor rgb="FFFF8080"/>
      <rgbColor rgb="FF0066CC"/>
      <rgbColor rgb="FFD0D8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E"/>
      <rgbColor rgb="FFE8EEF8"/>
      <rgbColor rgb="FFFFF0F0"/>
      <rgbColor rgb="FF99CCFF"/>
      <rgbColor rgb="FFFF99CC"/>
      <rgbColor rgb="FFCC99FF"/>
      <rgbColor rgb="FFF4F6FA"/>
      <rgbColor rgb="FF2E6DB4"/>
      <rgbColor rgb="FF33CCCC"/>
      <rgbColor rgb="FF99CC00"/>
      <rgbColor rgb="FFFFCC00"/>
      <rgbColor rgb="FFFF9900"/>
      <rgbColor rgb="FFFF6600"/>
      <rgbColor rgb="FF666699"/>
      <rgbColor rgb="FF969696"/>
      <rgbColor rgb="FF1B3A6B"/>
      <rgbColor rgb="FF339966"/>
      <rgbColor rgb="FF003300"/>
      <rgbColor rgb="FF333300"/>
      <rgbColor rgb="FF8B1A1A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0"/>
  <sheetViews>
    <sheetView tabSelected="1" topLeftCell="A2" zoomScaleNormal="100" workbookViewId="0">
      <selection activeCell="H33" sqref="H33"/>
    </sheetView>
  </sheetViews>
  <sheetFormatPr baseColWidth="10" defaultColWidth="8.7109375" defaultRowHeight="15" x14ac:dyDescent="0.25"/>
  <cols>
    <col min="1" max="1" width="52.42578125" bestFit="1" customWidth="1"/>
    <col min="2" max="2" width="16" customWidth="1"/>
    <col min="3" max="3" width="38.5703125" bestFit="1" customWidth="1"/>
  </cols>
  <sheetData>
    <row r="1" spans="1:3" ht="27.75" customHeight="1" x14ac:dyDescent="0.25">
      <c r="A1" s="14" t="s">
        <v>0</v>
      </c>
      <c r="B1" s="14"/>
      <c r="C1" s="14"/>
    </row>
    <row r="2" spans="1:3" ht="18" customHeight="1" x14ac:dyDescent="0.25">
      <c r="A2" s="13" t="s">
        <v>1</v>
      </c>
      <c r="B2" s="13"/>
      <c r="C2" s="13"/>
    </row>
    <row r="3" spans="1:3" ht="7.5" customHeight="1" x14ac:dyDescent="0.25"/>
    <row r="4" spans="1:3" ht="19.5" customHeight="1" x14ac:dyDescent="0.25">
      <c r="A4" s="12" t="s">
        <v>2</v>
      </c>
      <c r="B4" s="12"/>
      <c r="C4" s="12"/>
    </row>
    <row r="5" spans="1:3" ht="15" customHeight="1" x14ac:dyDescent="0.25">
      <c r="A5" s="15" t="s">
        <v>3</v>
      </c>
      <c r="B5" s="16">
        <v>1</v>
      </c>
      <c r="C5" s="17" t="s">
        <v>4</v>
      </c>
    </row>
    <row r="6" spans="1:3" ht="15" customHeight="1" x14ac:dyDescent="0.25">
      <c r="A6" s="15" t="s">
        <v>5</v>
      </c>
      <c r="B6" s="16">
        <v>9</v>
      </c>
      <c r="C6" s="17" t="s">
        <v>6</v>
      </c>
    </row>
    <row r="7" spans="1:3" ht="15" customHeight="1" x14ac:dyDescent="0.25">
      <c r="A7" s="15" t="s">
        <v>7</v>
      </c>
      <c r="B7" s="16">
        <v>30</v>
      </c>
      <c r="C7" s="17" t="s">
        <v>8</v>
      </c>
    </row>
    <row r="8" spans="1:3" ht="15" customHeight="1" x14ac:dyDescent="0.25">
      <c r="A8" s="15" t="s">
        <v>9</v>
      </c>
      <c r="B8" s="16">
        <v>42</v>
      </c>
      <c r="C8" s="17" t="s">
        <v>10</v>
      </c>
    </row>
    <row r="9" spans="1:3" ht="15" customHeight="1" x14ac:dyDescent="0.25">
      <c r="A9" s="15" t="s">
        <v>11</v>
      </c>
      <c r="B9" s="16">
        <v>80</v>
      </c>
      <c r="C9" s="17" t="s">
        <v>12</v>
      </c>
    </row>
    <row r="10" spans="1:3" ht="15" customHeight="1" x14ac:dyDescent="0.25">
      <c r="A10" s="15" t="s">
        <v>13</v>
      </c>
      <c r="B10" s="16">
        <v>65</v>
      </c>
      <c r="C10" s="17" t="s">
        <v>14</v>
      </c>
    </row>
    <row r="11" spans="1:3" ht="15" customHeight="1" x14ac:dyDescent="0.25">
      <c r="A11" s="15" t="s">
        <v>15</v>
      </c>
      <c r="B11" s="16">
        <f>B9*B10</f>
        <v>5200</v>
      </c>
      <c r="C11" s="17" t="s">
        <v>16</v>
      </c>
    </row>
    <row r="12" spans="1:3" ht="7.5" customHeight="1" x14ac:dyDescent="0.25"/>
    <row r="13" spans="1:3" ht="19.5" customHeight="1" x14ac:dyDescent="0.25">
      <c r="A13" s="12" t="s">
        <v>17</v>
      </c>
      <c r="B13" s="12"/>
      <c r="C13" s="12"/>
    </row>
    <row r="14" spans="1:3" ht="15" customHeight="1" x14ac:dyDescent="0.25">
      <c r="A14" s="15" t="s">
        <v>18</v>
      </c>
      <c r="B14" s="16">
        <v>500000</v>
      </c>
      <c r="C14" s="17" t="s">
        <v>19</v>
      </c>
    </row>
    <row r="15" spans="1:3" ht="15" customHeight="1" x14ac:dyDescent="0.25">
      <c r="A15" s="15" t="s">
        <v>20</v>
      </c>
      <c r="B15" s="18">
        <v>0.12</v>
      </c>
      <c r="C15" s="17" t="s">
        <v>21</v>
      </c>
    </row>
    <row r="16" spans="1:3" ht="15" customHeight="1" x14ac:dyDescent="0.25">
      <c r="A16" s="15" t="s">
        <v>22</v>
      </c>
      <c r="B16" s="16">
        <v>41</v>
      </c>
      <c r="C16" s="17" t="s">
        <v>23</v>
      </c>
    </row>
    <row r="17" spans="1:3" ht="7.5" customHeight="1" x14ac:dyDescent="0.25"/>
    <row r="18" spans="1:3" ht="19.5" customHeight="1" x14ac:dyDescent="0.25">
      <c r="A18" s="12" t="s">
        <v>24</v>
      </c>
      <c r="B18" s="12"/>
      <c r="C18" s="12"/>
    </row>
    <row r="19" spans="1:3" ht="15" customHeight="1" x14ac:dyDescent="0.25">
      <c r="A19" s="15" t="s">
        <v>25</v>
      </c>
      <c r="B19" s="16">
        <v>750</v>
      </c>
      <c r="C19" s="17" t="s">
        <v>26</v>
      </c>
    </row>
    <row r="20" spans="1:3" ht="15" customHeight="1" x14ac:dyDescent="0.25">
      <c r="A20" s="15" t="s">
        <v>27</v>
      </c>
      <c r="B20" s="16">
        <f>B11*B19</f>
        <v>3900000</v>
      </c>
      <c r="C20" s="17" t="s">
        <v>28</v>
      </c>
    </row>
    <row r="21" spans="1:3" ht="15" customHeight="1" x14ac:dyDescent="0.25">
      <c r="A21" s="15" t="s">
        <v>29</v>
      </c>
      <c r="B21" s="18">
        <v>0.06</v>
      </c>
      <c r="C21" s="17" t="s">
        <v>30</v>
      </c>
    </row>
    <row r="22" spans="1:3" ht="15" customHeight="1" x14ac:dyDescent="0.25">
      <c r="A22" s="15" t="s">
        <v>31</v>
      </c>
      <c r="B22" s="18">
        <v>2.5000000000000001E-2</v>
      </c>
      <c r="C22" s="17" t="s">
        <v>32</v>
      </c>
    </row>
    <row r="23" spans="1:3" ht="15" customHeight="1" x14ac:dyDescent="0.25">
      <c r="A23" s="15" t="s">
        <v>33</v>
      </c>
      <c r="B23" s="18">
        <v>0.04</v>
      </c>
      <c r="C23" s="17" t="s">
        <v>34</v>
      </c>
    </row>
    <row r="24" spans="1:3" ht="15" customHeight="1" x14ac:dyDescent="0.25">
      <c r="A24" s="15" t="s">
        <v>35</v>
      </c>
      <c r="B24" s="18">
        <v>0.12</v>
      </c>
      <c r="C24" s="17" t="s">
        <v>36</v>
      </c>
    </row>
    <row r="25" spans="1:3" ht="15" customHeight="1" x14ac:dyDescent="0.25">
      <c r="A25" s="15" t="s">
        <v>37</v>
      </c>
      <c r="B25" s="19"/>
      <c r="C25" s="17" t="s">
        <v>38</v>
      </c>
    </row>
    <row r="26" spans="1:3" ht="7.5" customHeight="1" x14ac:dyDescent="0.25"/>
    <row r="27" spans="1:3" ht="19.5" customHeight="1" x14ac:dyDescent="0.25">
      <c r="A27" s="12" t="s">
        <v>39</v>
      </c>
      <c r="B27" s="12"/>
      <c r="C27" s="12"/>
    </row>
    <row r="28" spans="1:3" ht="15" customHeight="1" x14ac:dyDescent="0.25">
      <c r="A28" s="15" t="s">
        <v>40</v>
      </c>
      <c r="B28" s="18">
        <v>0.5</v>
      </c>
      <c r="C28" s="17" t="s">
        <v>41</v>
      </c>
    </row>
    <row r="29" spans="1:3" ht="15" customHeight="1" x14ac:dyDescent="0.25">
      <c r="A29" s="15" t="s">
        <v>42</v>
      </c>
      <c r="B29" s="18">
        <v>0.2</v>
      </c>
      <c r="C29" s="17" t="s">
        <v>43</v>
      </c>
    </row>
    <row r="30" spans="1:3" ht="15" customHeight="1" x14ac:dyDescent="0.25">
      <c r="A30" s="15" t="s">
        <v>44</v>
      </c>
      <c r="B30" s="18">
        <v>0.3</v>
      </c>
      <c r="C30" s="17" t="s">
        <v>45</v>
      </c>
    </row>
    <row r="31" spans="1:3" ht="15" customHeight="1" x14ac:dyDescent="0.25">
      <c r="A31" s="15" t="s">
        <v>46</v>
      </c>
      <c r="B31" s="16">
        <v>39</v>
      </c>
      <c r="C31" s="17" t="s">
        <v>47</v>
      </c>
    </row>
    <row r="32" spans="1:3" ht="7.5" customHeight="1" x14ac:dyDescent="0.25"/>
    <row r="33" spans="1:3" ht="19.5" customHeight="1" x14ac:dyDescent="0.25">
      <c r="A33" s="12" t="s">
        <v>48</v>
      </c>
      <c r="B33" s="12"/>
      <c r="C33" s="12"/>
    </row>
    <row r="34" spans="1:3" ht="15" customHeight="1" x14ac:dyDescent="0.25">
      <c r="A34" s="15" t="s">
        <v>49</v>
      </c>
      <c r="B34" s="16">
        <v>1900</v>
      </c>
      <c r="C34" s="17" t="s">
        <v>50</v>
      </c>
    </row>
    <row r="35" spans="1:3" ht="15" customHeight="1" x14ac:dyDescent="0.25">
      <c r="A35" s="15" t="s">
        <v>51</v>
      </c>
      <c r="B35" s="16">
        <v>2300</v>
      </c>
      <c r="C35" s="17" t="s">
        <v>52</v>
      </c>
    </row>
    <row r="36" spans="1:3" ht="15" customHeight="1" x14ac:dyDescent="0.25">
      <c r="A36" s="15" t="s">
        <v>53</v>
      </c>
      <c r="B36" s="16">
        <v>2600</v>
      </c>
      <c r="C36" s="17" t="s">
        <v>54</v>
      </c>
    </row>
    <row r="37" spans="1:3" ht="15" customHeight="1" x14ac:dyDescent="0.25">
      <c r="A37" s="15" t="s">
        <v>55</v>
      </c>
      <c r="B37" s="16">
        <v>24</v>
      </c>
      <c r="C37" s="17" t="s">
        <v>56</v>
      </c>
    </row>
    <row r="38" spans="1:3" ht="15" customHeight="1" x14ac:dyDescent="0.25">
      <c r="A38" s="15" t="s">
        <v>57</v>
      </c>
      <c r="B38" s="16">
        <v>48</v>
      </c>
      <c r="C38" s="17" t="s">
        <v>58</v>
      </c>
    </row>
    <row r="39" spans="1:3" ht="15" customHeight="1" x14ac:dyDescent="0.25">
      <c r="A39" s="15" t="s">
        <v>59</v>
      </c>
      <c r="B39" s="16">
        <v>8</v>
      </c>
      <c r="C39" s="17" t="s">
        <v>60</v>
      </c>
    </row>
    <row r="40" spans="1:3" ht="15" customHeight="1" x14ac:dyDescent="0.25">
      <c r="A40" s="15" t="s">
        <v>61</v>
      </c>
      <c r="B40" s="18">
        <v>0.03</v>
      </c>
      <c r="C40" s="17" t="s">
        <v>62</v>
      </c>
    </row>
    <row r="41" spans="1:3" ht="15" customHeight="1" x14ac:dyDescent="0.25">
      <c r="A41" s="15" t="s">
        <v>63</v>
      </c>
      <c r="B41" s="18">
        <v>0.87</v>
      </c>
      <c r="C41" s="17" t="s">
        <v>64</v>
      </c>
    </row>
    <row r="42" spans="1:3" ht="15" customHeight="1" x14ac:dyDescent="0.25">
      <c r="A42" s="15" t="s">
        <v>65</v>
      </c>
      <c r="B42" s="18">
        <v>0.1</v>
      </c>
      <c r="C42" s="17" t="s">
        <v>66</v>
      </c>
    </row>
    <row r="43" spans="1:3" ht="15" customHeight="1" x14ac:dyDescent="0.25">
      <c r="A43" s="15" t="s">
        <v>67</v>
      </c>
      <c r="B43" s="18">
        <v>0.05</v>
      </c>
      <c r="C43" s="17" t="s">
        <v>68</v>
      </c>
    </row>
    <row r="44" spans="1:3" ht="7.5" customHeight="1" x14ac:dyDescent="0.25"/>
    <row r="45" spans="1:3" ht="19.5" customHeight="1" x14ac:dyDescent="0.25">
      <c r="A45" s="12" t="s">
        <v>69</v>
      </c>
      <c r="B45" s="12"/>
      <c r="C45" s="12"/>
    </row>
    <row r="46" spans="1:3" ht="15" customHeight="1" x14ac:dyDescent="0.25">
      <c r="A46" s="15" t="s">
        <v>70</v>
      </c>
      <c r="B46" s="18">
        <v>0.03</v>
      </c>
      <c r="C46" s="17" t="s">
        <v>71</v>
      </c>
    </row>
    <row r="47" spans="1:3" ht="15" customHeight="1" x14ac:dyDescent="0.25">
      <c r="A47" s="15" t="s">
        <v>72</v>
      </c>
      <c r="B47" s="18">
        <v>0.05</v>
      </c>
      <c r="C47" s="17" t="s">
        <v>73</v>
      </c>
    </row>
    <row r="48" spans="1:3" ht="15" customHeight="1" x14ac:dyDescent="0.25">
      <c r="A48" s="15" t="s">
        <v>74</v>
      </c>
      <c r="B48" s="18">
        <v>0.4</v>
      </c>
      <c r="C48" s="17" t="s">
        <v>75</v>
      </c>
    </row>
    <row r="49" spans="1:3" ht="15" customHeight="1" x14ac:dyDescent="0.25">
      <c r="A49" s="15" t="s">
        <v>76</v>
      </c>
      <c r="B49" s="16">
        <v>80000</v>
      </c>
      <c r="C49" s="17" t="s">
        <v>77</v>
      </c>
    </row>
    <row r="50" spans="1:3" ht="15" customHeight="1" x14ac:dyDescent="0.25">
      <c r="A50" s="15" t="s">
        <v>78</v>
      </c>
      <c r="B50" s="16">
        <v>35000</v>
      </c>
      <c r="C50" s="17" t="s">
        <v>79</v>
      </c>
    </row>
    <row r="51" spans="1:3" ht="15" customHeight="1" x14ac:dyDescent="0.25">
      <c r="A51" s="15" t="s">
        <v>80</v>
      </c>
      <c r="B51" s="16">
        <v>15000</v>
      </c>
      <c r="C51" s="17" t="s">
        <v>81</v>
      </c>
    </row>
    <row r="52" spans="1:3" ht="7.5" customHeight="1" x14ac:dyDescent="0.25"/>
    <row r="53" spans="1:3" ht="19.5" customHeight="1" x14ac:dyDescent="0.25">
      <c r="A53" s="12" t="s">
        <v>82</v>
      </c>
      <c r="B53" s="12"/>
      <c r="C53" s="12"/>
    </row>
    <row r="54" spans="1:3" ht="15" customHeight="1" x14ac:dyDescent="0.25">
      <c r="A54" s="15" t="s">
        <v>83</v>
      </c>
      <c r="B54" s="18">
        <v>1.4999999999999999E-2</v>
      </c>
      <c r="C54" s="17" t="s">
        <v>84</v>
      </c>
    </row>
    <row r="55" spans="1:3" ht="15" customHeight="1" x14ac:dyDescent="0.25">
      <c r="A55" s="15" t="s">
        <v>85</v>
      </c>
      <c r="B55" s="18">
        <v>5.0000000000000001E-3</v>
      </c>
      <c r="C55" s="17" t="s">
        <v>86</v>
      </c>
    </row>
    <row r="56" spans="1:3" ht="15" customHeight="1" x14ac:dyDescent="0.25">
      <c r="A56" s="15" t="s">
        <v>87</v>
      </c>
      <c r="B56" s="16">
        <v>1500</v>
      </c>
      <c r="C56" s="17" t="s">
        <v>88</v>
      </c>
    </row>
    <row r="57" spans="1:3" ht="15" customHeight="1" x14ac:dyDescent="0.25">
      <c r="A57" s="15" t="s">
        <v>89</v>
      </c>
      <c r="B57" s="18">
        <v>1.7999999999999999E-2</v>
      </c>
      <c r="C57" s="17" t="s">
        <v>90</v>
      </c>
    </row>
    <row r="58" spans="1:3" ht="15" customHeight="1" x14ac:dyDescent="0.25">
      <c r="A58" s="15" t="s">
        <v>91</v>
      </c>
      <c r="B58" s="18">
        <v>0.1</v>
      </c>
      <c r="C58" s="17" t="s">
        <v>92</v>
      </c>
    </row>
    <row r="59" spans="1:3" ht="15" customHeight="1" x14ac:dyDescent="0.25">
      <c r="A59" s="15" t="s">
        <v>93</v>
      </c>
      <c r="B59" s="16">
        <v>8000</v>
      </c>
      <c r="C59" s="17" t="s">
        <v>94</v>
      </c>
    </row>
    <row r="60" spans="1:3" ht="15" customHeight="1" x14ac:dyDescent="0.25">
      <c r="A60" s="15" t="s">
        <v>95</v>
      </c>
      <c r="B60" s="18">
        <v>8.0000000000000002E-3</v>
      </c>
      <c r="C60" s="17" t="s">
        <v>96</v>
      </c>
    </row>
  </sheetData>
  <mergeCells count="9">
    <mergeCell ref="A27:C27"/>
    <mergeCell ref="A33:C33"/>
    <mergeCell ref="A45:C45"/>
    <mergeCell ref="A53:C53"/>
    <mergeCell ref="A1:C1"/>
    <mergeCell ref="A2:C2"/>
    <mergeCell ref="A4:C4"/>
    <mergeCell ref="A13:C13"/>
    <mergeCell ref="A18:C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0"/>
  <sheetViews>
    <sheetView topLeftCell="A17" zoomScaleNormal="100" workbookViewId="0">
      <selection sqref="A1:AU1"/>
    </sheetView>
  </sheetViews>
  <sheetFormatPr baseColWidth="10" defaultColWidth="8.7109375" defaultRowHeight="15" x14ac:dyDescent="0.25"/>
  <cols>
    <col min="1" max="1" width="42" customWidth="1"/>
    <col min="2" max="2" width="12" customWidth="1"/>
    <col min="3" max="47" width="9" customWidth="1"/>
  </cols>
  <sheetData>
    <row r="1" spans="1:48" ht="25.5" customHeight="1" x14ac:dyDescent="0.25">
      <c r="A1" s="14" t="s">
        <v>97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</row>
    <row r="2" spans="1:48" ht="15.75" customHeight="1" x14ac:dyDescent="0.25">
      <c r="A2" s="11" t="s">
        <v>98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</row>
    <row r="3" spans="1:48" ht="19.5" customHeight="1" x14ac:dyDescent="0.25">
      <c r="A3" s="20" t="s">
        <v>99</v>
      </c>
      <c r="B3" s="21" t="s">
        <v>100</v>
      </c>
      <c r="C3" s="22" t="s">
        <v>101</v>
      </c>
      <c r="D3" s="22" t="s">
        <v>102</v>
      </c>
      <c r="E3" s="22" t="s">
        <v>103</v>
      </c>
      <c r="F3" s="22" t="s">
        <v>104</v>
      </c>
      <c r="G3" s="22" t="s">
        <v>105</v>
      </c>
      <c r="H3" s="22" t="s">
        <v>106</v>
      </c>
      <c r="I3" s="22" t="s">
        <v>107</v>
      </c>
      <c r="J3" s="22" t="s">
        <v>108</v>
      </c>
      <c r="K3" s="22" t="s">
        <v>109</v>
      </c>
      <c r="L3" s="22" t="s">
        <v>110</v>
      </c>
      <c r="M3" s="22" t="s">
        <v>111</v>
      </c>
      <c r="N3" s="22" t="s">
        <v>112</v>
      </c>
      <c r="O3" s="22" t="s">
        <v>113</v>
      </c>
      <c r="P3" s="22" t="s">
        <v>114</v>
      </c>
      <c r="Q3" s="22" t="s">
        <v>115</v>
      </c>
      <c r="R3" s="22" t="s">
        <v>116</v>
      </c>
      <c r="S3" s="22" t="s">
        <v>117</v>
      </c>
      <c r="T3" s="22" t="s">
        <v>118</v>
      </c>
      <c r="U3" s="22" t="s">
        <v>119</v>
      </c>
      <c r="V3" s="22" t="s">
        <v>120</v>
      </c>
      <c r="W3" s="22" t="s">
        <v>121</v>
      </c>
      <c r="X3" s="22" t="s">
        <v>122</v>
      </c>
      <c r="Y3" s="22" t="s">
        <v>123</v>
      </c>
      <c r="Z3" s="22" t="s">
        <v>124</v>
      </c>
      <c r="AA3" s="22" t="s">
        <v>125</v>
      </c>
      <c r="AB3" s="22" t="s">
        <v>126</v>
      </c>
      <c r="AC3" s="22" t="s">
        <v>127</v>
      </c>
      <c r="AD3" s="22" t="s">
        <v>128</v>
      </c>
      <c r="AE3" s="22" t="s">
        <v>129</v>
      </c>
      <c r="AF3" s="22" t="s">
        <v>130</v>
      </c>
      <c r="AG3" s="22" t="s">
        <v>131</v>
      </c>
      <c r="AH3" s="22" t="s">
        <v>132</v>
      </c>
      <c r="AI3" s="22" t="s">
        <v>133</v>
      </c>
      <c r="AJ3" s="22" t="s">
        <v>134</v>
      </c>
      <c r="AK3" s="22" t="s">
        <v>135</v>
      </c>
      <c r="AL3" s="22" t="s">
        <v>136</v>
      </c>
      <c r="AM3" s="22" t="s">
        <v>137</v>
      </c>
      <c r="AN3" s="22" t="s">
        <v>138</v>
      </c>
      <c r="AO3" s="22" t="s">
        <v>139</v>
      </c>
      <c r="AP3" s="22" t="s">
        <v>140</v>
      </c>
      <c r="AQ3" s="22" t="s">
        <v>141</v>
      </c>
      <c r="AR3" s="22" t="s">
        <v>142</v>
      </c>
      <c r="AS3" s="22" t="s">
        <v>143</v>
      </c>
      <c r="AT3" s="22" t="s">
        <v>144</v>
      </c>
      <c r="AU3" s="23" t="s">
        <v>145</v>
      </c>
    </row>
    <row r="4" spans="1:48" ht="15.75" customHeight="1" x14ac:dyDescent="0.25">
      <c r="A4" s="24" t="s">
        <v>146</v>
      </c>
      <c r="B4" s="25"/>
      <c r="C4" s="26" t="s">
        <v>147</v>
      </c>
      <c r="D4" s="26" t="s">
        <v>147</v>
      </c>
      <c r="E4" s="26" t="s">
        <v>147</v>
      </c>
      <c r="F4" s="26" t="s">
        <v>147</v>
      </c>
      <c r="G4" s="26" t="s">
        <v>147</v>
      </c>
      <c r="H4" s="26" t="s">
        <v>147</v>
      </c>
      <c r="I4" s="26" t="s">
        <v>147</v>
      </c>
      <c r="J4" s="26" t="s">
        <v>147</v>
      </c>
      <c r="K4" s="27" t="s">
        <v>148</v>
      </c>
      <c r="L4" s="27" t="s">
        <v>148</v>
      </c>
      <c r="M4" s="27" t="s">
        <v>148</v>
      </c>
      <c r="N4" s="27" t="s">
        <v>148</v>
      </c>
      <c r="O4" s="27" t="s">
        <v>148</v>
      </c>
      <c r="P4" s="27" t="s">
        <v>148</v>
      </c>
      <c r="Q4" s="27" t="s">
        <v>148</v>
      </c>
      <c r="R4" s="27" t="s">
        <v>148</v>
      </c>
      <c r="S4" s="27" t="s">
        <v>148</v>
      </c>
      <c r="T4" s="27" t="s">
        <v>148</v>
      </c>
      <c r="U4" s="27" t="s">
        <v>148</v>
      </c>
      <c r="V4" s="27" t="s">
        <v>148</v>
      </c>
      <c r="W4" s="27" t="s">
        <v>148</v>
      </c>
      <c r="X4" s="27" t="s">
        <v>148</v>
      </c>
      <c r="Y4" s="27" t="s">
        <v>148</v>
      </c>
      <c r="Z4" s="27" t="s">
        <v>148</v>
      </c>
      <c r="AA4" s="27" t="s">
        <v>148</v>
      </c>
      <c r="AB4" s="27" t="s">
        <v>148</v>
      </c>
      <c r="AC4" s="27" t="s">
        <v>148</v>
      </c>
      <c r="AD4" s="27" t="s">
        <v>148</v>
      </c>
      <c r="AE4" s="27" t="s">
        <v>148</v>
      </c>
      <c r="AF4" s="27" t="s">
        <v>148</v>
      </c>
      <c r="AG4" s="27" t="s">
        <v>148</v>
      </c>
      <c r="AH4" s="27" t="s">
        <v>148</v>
      </c>
      <c r="AI4" s="27" t="s">
        <v>148</v>
      </c>
      <c r="AJ4" s="27" t="s">
        <v>148</v>
      </c>
      <c r="AK4" s="27" t="s">
        <v>148</v>
      </c>
      <c r="AL4" s="27" t="s">
        <v>148</v>
      </c>
      <c r="AM4" s="27" t="s">
        <v>148</v>
      </c>
      <c r="AN4" s="27" t="s">
        <v>148</v>
      </c>
      <c r="AO4" s="28" t="s">
        <v>149</v>
      </c>
      <c r="AP4" s="28" t="s">
        <v>149</v>
      </c>
      <c r="AQ4" s="28" t="s">
        <v>149</v>
      </c>
      <c r="AR4" s="29" t="s">
        <v>150</v>
      </c>
      <c r="AS4" s="29" t="s">
        <v>150</v>
      </c>
      <c r="AT4" s="29" t="s">
        <v>150</v>
      </c>
      <c r="AU4" s="25"/>
    </row>
    <row r="5" spans="1:48" ht="18" customHeight="1" x14ac:dyDescent="0.25">
      <c r="A5" s="10" t="s">
        <v>151</v>
      </c>
      <c r="B5" s="1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</row>
    <row r="6" spans="1:48" ht="15" customHeight="1" x14ac:dyDescent="0.25">
      <c r="A6" s="31" t="s">
        <v>152</v>
      </c>
      <c r="B6" s="32" t="s">
        <v>153</v>
      </c>
      <c r="C6" s="33">
        <f>(Supuestos!B37/8)*Supuestos!B10*Supuestos!B34*Supuestos!B40</f>
        <v>11115</v>
      </c>
      <c r="D6" s="33">
        <f>(Supuestos!B37/8)*Supuestos!B10*Supuestos!B34*Supuestos!B40</f>
        <v>11115</v>
      </c>
      <c r="E6" s="33">
        <f>(Supuestos!B37/8)*Supuestos!B10*Supuestos!B34*Supuestos!B40</f>
        <v>11115</v>
      </c>
      <c r="F6" s="33">
        <f>(Supuestos!B37/8)*Supuestos!B10*Supuestos!B34*Supuestos!B40</f>
        <v>11115</v>
      </c>
      <c r="G6" s="33">
        <f>(Supuestos!B37/8)*Supuestos!B10*Supuestos!B34*Supuestos!B40</f>
        <v>11115</v>
      </c>
      <c r="H6" s="33">
        <f>(Supuestos!B37/8)*Supuestos!B10*Supuestos!B34*Supuestos!B40</f>
        <v>11115</v>
      </c>
      <c r="I6" s="33">
        <f>(Supuestos!B37/8)*Supuestos!B10*Supuestos!B34*Supuestos!B40</f>
        <v>11115</v>
      </c>
      <c r="J6" s="33">
        <f>(Supuestos!B37/8)*Supuestos!B10*Supuestos!B34*Supuestos!B40</f>
        <v>11115</v>
      </c>
      <c r="K6" s="33">
        <v>0</v>
      </c>
      <c r="L6" s="33">
        <v>0</v>
      </c>
      <c r="M6" s="33">
        <v>0</v>
      </c>
      <c r="N6" s="33">
        <v>0</v>
      </c>
      <c r="O6" s="33">
        <v>0</v>
      </c>
      <c r="P6" s="33">
        <v>0</v>
      </c>
      <c r="Q6" s="33">
        <v>0</v>
      </c>
      <c r="R6" s="33">
        <v>0</v>
      </c>
      <c r="S6" s="33">
        <v>0</v>
      </c>
      <c r="T6" s="33">
        <v>0</v>
      </c>
      <c r="U6" s="33">
        <v>0</v>
      </c>
      <c r="V6" s="33">
        <v>0</v>
      </c>
      <c r="W6" s="33">
        <v>0</v>
      </c>
      <c r="X6" s="33">
        <v>0</v>
      </c>
      <c r="Y6" s="33">
        <v>0</v>
      </c>
      <c r="Z6" s="33">
        <v>0</v>
      </c>
      <c r="AA6" s="33">
        <v>0</v>
      </c>
      <c r="AB6" s="33">
        <v>0</v>
      </c>
      <c r="AC6" s="33">
        <v>0</v>
      </c>
      <c r="AD6" s="33">
        <v>0</v>
      </c>
      <c r="AE6" s="33">
        <v>0</v>
      </c>
      <c r="AF6" s="33">
        <v>0</v>
      </c>
      <c r="AG6" s="33">
        <v>0</v>
      </c>
      <c r="AH6" s="33">
        <v>0</v>
      </c>
      <c r="AI6" s="33">
        <v>0</v>
      </c>
      <c r="AJ6" s="33">
        <v>0</v>
      </c>
      <c r="AK6" s="33">
        <v>0</v>
      </c>
      <c r="AL6" s="33">
        <v>0</v>
      </c>
      <c r="AM6" s="33">
        <v>0</v>
      </c>
      <c r="AN6" s="33">
        <v>0</v>
      </c>
      <c r="AO6" s="33">
        <v>0</v>
      </c>
      <c r="AP6" s="33">
        <v>0</v>
      </c>
      <c r="AQ6" s="33">
        <v>0</v>
      </c>
      <c r="AR6" s="33">
        <v>0</v>
      </c>
      <c r="AS6" s="33">
        <v>0</v>
      </c>
      <c r="AT6" s="33">
        <v>0</v>
      </c>
      <c r="AU6" s="34">
        <f t="shared" ref="AU6:AU13" si="0">SUM(C6:AT6)</f>
        <v>88920</v>
      </c>
    </row>
    <row r="7" spans="1:48" ht="15" customHeight="1" x14ac:dyDescent="0.25">
      <c r="A7" s="31" t="s">
        <v>154</v>
      </c>
      <c r="B7" s="32" t="s">
        <v>153</v>
      </c>
      <c r="C7" s="33">
        <v>0</v>
      </c>
      <c r="D7" s="33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f>(Supuestos!B37*Supuestos!B10*Supuestos!B34*Supuestos!B41)/30</f>
        <v>85956</v>
      </c>
      <c r="L7" s="33">
        <f>(Supuestos!B37*Supuestos!B10*Supuestos!B34*Supuestos!B41)/30</f>
        <v>85956</v>
      </c>
      <c r="M7" s="33">
        <f>(Supuestos!B37*Supuestos!B10*Supuestos!B34*Supuestos!B41)/30</f>
        <v>85956</v>
      </c>
      <c r="N7" s="33">
        <f>(Supuestos!B37*Supuestos!B10*Supuestos!B34*Supuestos!B41)/30</f>
        <v>85956</v>
      </c>
      <c r="O7" s="33">
        <f>(Supuestos!B37*Supuestos!B10*Supuestos!B34*Supuestos!B41)/30</f>
        <v>85956</v>
      </c>
      <c r="P7" s="33">
        <f>(Supuestos!B37*Supuestos!B10*Supuestos!B34*Supuestos!B41)/30</f>
        <v>85956</v>
      </c>
      <c r="Q7" s="33">
        <f>(Supuestos!B37*Supuestos!B10*Supuestos!B34*Supuestos!B41)/30</f>
        <v>85956</v>
      </c>
      <c r="R7" s="33">
        <f>(Supuestos!B37*Supuestos!B10*Supuestos!B34*Supuestos!B41)/30</f>
        <v>85956</v>
      </c>
      <c r="S7" s="33">
        <f>(Supuestos!B37*Supuestos!B10*Supuestos!B34*Supuestos!B41)/30</f>
        <v>85956</v>
      </c>
      <c r="T7" s="33">
        <f>(Supuestos!B37*Supuestos!B10*Supuestos!B34*Supuestos!B41)/30</f>
        <v>85956</v>
      </c>
      <c r="U7" s="33">
        <f>(Supuestos!B37*Supuestos!B10*Supuestos!B34*Supuestos!B41)/30</f>
        <v>85956</v>
      </c>
      <c r="V7" s="33">
        <f>(Supuestos!B37*Supuestos!B10*Supuestos!B34*Supuestos!B41)/30</f>
        <v>85956</v>
      </c>
      <c r="W7" s="33">
        <f>(Supuestos!B37*Supuestos!B10*Supuestos!B34*Supuestos!B41)/30</f>
        <v>85956</v>
      </c>
      <c r="X7" s="33">
        <f>(Supuestos!B37*Supuestos!B10*Supuestos!B34*Supuestos!B41)/30</f>
        <v>85956</v>
      </c>
      <c r="Y7" s="33">
        <f>(Supuestos!B37*Supuestos!B10*Supuestos!B34*Supuestos!B41)/30</f>
        <v>85956</v>
      </c>
      <c r="Z7" s="33">
        <f>(Supuestos!B37*Supuestos!B10*Supuestos!B34*Supuestos!B41)/30</f>
        <v>85956</v>
      </c>
      <c r="AA7" s="33">
        <f>(Supuestos!B37*Supuestos!B10*Supuestos!B34*Supuestos!B41)/30</f>
        <v>85956</v>
      </c>
      <c r="AB7" s="33">
        <f>(Supuestos!B37*Supuestos!B10*Supuestos!B34*Supuestos!B41)/30</f>
        <v>85956</v>
      </c>
      <c r="AC7" s="33">
        <f>(Supuestos!B37*Supuestos!B10*Supuestos!B34*Supuestos!B41)/30</f>
        <v>85956</v>
      </c>
      <c r="AD7" s="33">
        <f>(Supuestos!B37*Supuestos!B10*Supuestos!B34*Supuestos!B41)/30</f>
        <v>85956</v>
      </c>
      <c r="AE7" s="33">
        <f>(Supuestos!B37*Supuestos!B10*Supuestos!B34*Supuestos!B41)/30</f>
        <v>85956</v>
      </c>
      <c r="AF7" s="33">
        <f>(Supuestos!B37*Supuestos!B10*Supuestos!B34*Supuestos!B41)/30</f>
        <v>85956</v>
      </c>
      <c r="AG7" s="33">
        <f>(Supuestos!B37*Supuestos!B10*Supuestos!B34*Supuestos!B41)/30</f>
        <v>85956</v>
      </c>
      <c r="AH7" s="33">
        <f>(Supuestos!B37*Supuestos!B10*Supuestos!B34*Supuestos!B41)/30</f>
        <v>85956</v>
      </c>
      <c r="AI7" s="33">
        <f>(Supuestos!B37*Supuestos!B10*Supuestos!B34*Supuestos!B41)/30</f>
        <v>85956</v>
      </c>
      <c r="AJ7" s="33">
        <f>(Supuestos!B37*Supuestos!B10*Supuestos!B34*Supuestos!B41)/30</f>
        <v>85956</v>
      </c>
      <c r="AK7" s="33">
        <f>(Supuestos!B37*Supuestos!B10*Supuestos!B34*Supuestos!B41)/30</f>
        <v>85956</v>
      </c>
      <c r="AL7" s="33">
        <f>(Supuestos!B37*Supuestos!B10*Supuestos!B34*Supuestos!B41)/30</f>
        <v>85956</v>
      </c>
      <c r="AM7" s="33">
        <f>(Supuestos!B37*Supuestos!B10*Supuestos!B34*Supuestos!B41)/30</f>
        <v>85956</v>
      </c>
      <c r="AN7" s="33">
        <f>(Supuestos!B37*Supuestos!B10*Supuestos!B34*Supuestos!B41)/30</f>
        <v>85956</v>
      </c>
      <c r="AO7" s="33">
        <v>0</v>
      </c>
      <c r="AP7" s="33">
        <v>0</v>
      </c>
      <c r="AQ7" s="33">
        <v>0</v>
      </c>
      <c r="AR7" s="33">
        <v>0</v>
      </c>
      <c r="AS7" s="33">
        <v>0</v>
      </c>
      <c r="AT7" s="33">
        <v>0</v>
      </c>
      <c r="AU7" s="34">
        <f t="shared" si="0"/>
        <v>2578680</v>
      </c>
    </row>
    <row r="8" spans="1:48" ht="15" customHeight="1" x14ac:dyDescent="0.25">
      <c r="A8" s="31" t="s">
        <v>155</v>
      </c>
      <c r="B8" s="32" t="s">
        <v>153</v>
      </c>
      <c r="C8" s="33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f>(Supuestos!B38/30)*Supuestos!B10*Supuestos!B35*Supuestos!B40</f>
        <v>7176</v>
      </c>
      <c r="L8" s="33">
        <f>(Supuestos!B38/30)*Supuestos!B10*Supuestos!B35*Supuestos!B40</f>
        <v>7176</v>
      </c>
      <c r="M8" s="33">
        <f>(Supuestos!B38/30)*Supuestos!B10*Supuestos!B35*Supuestos!B40</f>
        <v>7176</v>
      </c>
      <c r="N8" s="33">
        <f>(Supuestos!B38/30)*Supuestos!B10*Supuestos!B35*Supuestos!B40</f>
        <v>7176</v>
      </c>
      <c r="O8" s="33">
        <f>(Supuestos!B38/30)*Supuestos!B10*Supuestos!B35*Supuestos!B40</f>
        <v>7176</v>
      </c>
      <c r="P8" s="33">
        <f>(Supuestos!B38/30)*Supuestos!B10*Supuestos!B35*Supuestos!B40</f>
        <v>7176</v>
      </c>
      <c r="Q8" s="33">
        <f>(Supuestos!B38/30)*Supuestos!B10*Supuestos!B35*Supuestos!B40</f>
        <v>7176</v>
      </c>
      <c r="R8" s="33">
        <f>(Supuestos!B38/30)*Supuestos!B10*Supuestos!B35*Supuestos!B40</f>
        <v>7176</v>
      </c>
      <c r="S8" s="33">
        <f>(Supuestos!B38/30)*Supuestos!B10*Supuestos!B35*Supuestos!B40</f>
        <v>7176</v>
      </c>
      <c r="T8" s="33">
        <f>(Supuestos!B38/30)*Supuestos!B10*Supuestos!B35*Supuestos!B40</f>
        <v>7176</v>
      </c>
      <c r="U8" s="33">
        <f>(Supuestos!B38/30)*Supuestos!B10*Supuestos!B35*Supuestos!B40</f>
        <v>7176</v>
      </c>
      <c r="V8" s="33">
        <f>(Supuestos!B38/30)*Supuestos!B10*Supuestos!B35*Supuestos!B40</f>
        <v>7176</v>
      </c>
      <c r="W8" s="33">
        <f>(Supuestos!B38/30)*Supuestos!B10*Supuestos!B35*Supuestos!B40</f>
        <v>7176</v>
      </c>
      <c r="X8" s="33">
        <f>(Supuestos!B38/30)*Supuestos!B10*Supuestos!B35*Supuestos!B40</f>
        <v>7176</v>
      </c>
      <c r="Y8" s="33">
        <f>(Supuestos!B38/30)*Supuestos!B10*Supuestos!B35*Supuestos!B40</f>
        <v>7176</v>
      </c>
      <c r="Z8" s="33">
        <f>(Supuestos!B38/30)*Supuestos!B10*Supuestos!B35*Supuestos!B40</f>
        <v>7176</v>
      </c>
      <c r="AA8" s="33">
        <f>(Supuestos!B38/30)*Supuestos!B10*Supuestos!B35*Supuestos!B40</f>
        <v>7176</v>
      </c>
      <c r="AB8" s="33">
        <f>(Supuestos!B38/30)*Supuestos!B10*Supuestos!B35*Supuestos!B40</f>
        <v>7176</v>
      </c>
      <c r="AC8" s="33">
        <f>(Supuestos!B38/30)*Supuestos!B10*Supuestos!B35*Supuestos!B40</f>
        <v>7176</v>
      </c>
      <c r="AD8" s="33">
        <f>(Supuestos!B38/30)*Supuestos!B10*Supuestos!B35*Supuestos!B40</f>
        <v>7176</v>
      </c>
      <c r="AE8" s="33">
        <f>(Supuestos!B38/30)*Supuestos!B10*Supuestos!B35*Supuestos!B40</f>
        <v>7176</v>
      </c>
      <c r="AF8" s="33">
        <f>(Supuestos!B38/30)*Supuestos!B10*Supuestos!B35*Supuestos!B40</f>
        <v>7176</v>
      </c>
      <c r="AG8" s="33">
        <f>(Supuestos!B38/30)*Supuestos!B10*Supuestos!B35*Supuestos!B40</f>
        <v>7176</v>
      </c>
      <c r="AH8" s="33">
        <f>(Supuestos!B38/30)*Supuestos!B10*Supuestos!B35*Supuestos!B40</f>
        <v>7176</v>
      </c>
      <c r="AI8" s="33">
        <f>(Supuestos!B38/30)*Supuestos!B10*Supuestos!B35*Supuestos!B40</f>
        <v>7176</v>
      </c>
      <c r="AJ8" s="33">
        <f>(Supuestos!B38/30)*Supuestos!B10*Supuestos!B35*Supuestos!B40</f>
        <v>7176</v>
      </c>
      <c r="AK8" s="33">
        <f>(Supuestos!B38/30)*Supuestos!B10*Supuestos!B35*Supuestos!B40</f>
        <v>7176</v>
      </c>
      <c r="AL8" s="33">
        <f>(Supuestos!B38/30)*Supuestos!B10*Supuestos!B35*Supuestos!B40</f>
        <v>7176</v>
      </c>
      <c r="AM8" s="33">
        <f>(Supuestos!B38/30)*Supuestos!B10*Supuestos!B35*Supuestos!B40</f>
        <v>7176</v>
      </c>
      <c r="AN8" s="33">
        <f>(Supuestos!B38/30)*Supuestos!B10*Supuestos!B35*Supuestos!B40</f>
        <v>7176</v>
      </c>
      <c r="AO8" s="33">
        <v>0</v>
      </c>
      <c r="AP8" s="33">
        <v>0</v>
      </c>
      <c r="AQ8" s="33">
        <v>0</v>
      </c>
      <c r="AR8" s="33">
        <v>0</v>
      </c>
      <c r="AS8" s="33">
        <v>0</v>
      </c>
      <c r="AT8" s="33">
        <v>0</v>
      </c>
      <c r="AU8" s="34">
        <f t="shared" si="0"/>
        <v>215280</v>
      </c>
    </row>
    <row r="9" spans="1:48" ht="15" customHeight="1" x14ac:dyDescent="0.25">
      <c r="A9" s="31" t="s">
        <v>156</v>
      </c>
      <c r="B9" s="32" t="s">
        <v>153</v>
      </c>
      <c r="C9" s="33">
        <v>0</v>
      </c>
      <c r="D9" s="33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f>(Supuestos!B38/30)*Supuestos!B10*Supuestos!B35*Supuestos!B41/15</f>
        <v>13873.6</v>
      </c>
      <c r="M9" s="33">
        <f>(Supuestos!B38/30)*Supuestos!B10*Supuestos!B35*Supuestos!B41/15</f>
        <v>13873.6</v>
      </c>
      <c r="N9" s="33">
        <f>(Supuestos!B38/30)*Supuestos!B10*Supuestos!B35*Supuestos!B41/15</f>
        <v>13873.6</v>
      </c>
      <c r="O9" s="33">
        <f>(Supuestos!B38/30)*Supuestos!B10*Supuestos!B35*Supuestos!B41/15</f>
        <v>13873.6</v>
      </c>
      <c r="P9" s="33">
        <f>(Supuestos!B38/30)*Supuestos!B10*Supuestos!B35*Supuestos!B41/15</f>
        <v>13873.6</v>
      </c>
      <c r="Q9" s="33">
        <f>(Supuestos!B38/30)*Supuestos!B10*Supuestos!B35*Supuestos!B41/15</f>
        <v>13873.6</v>
      </c>
      <c r="R9" s="33">
        <f>(Supuestos!B38/30)*Supuestos!B10*Supuestos!B35*Supuestos!B41/15</f>
        <v>13873.6</v>
      </c>
      <c r="S9" s="33">
        <f>(Supuestos!B38/30)*Supuestos!B10*Supuestos!B35*Supuestos!B41/15</f>
        <v>13873.6</v>
      </c>
      <c r="T9" s="33">
        <f>(Supuestos!B38/30)*Supuestos!B10*Supuestos!B35*Supuestos!B41/15</f>
        <v>13873.6</v>
      </c>
      <c r="U9" s="33">
        <f>(Supuestos!B38/30)*Supuestos!B10*Supuestos!B35*Supuestos!B41/15</f>
        <v>13873.6</v>
      </c>
      <c r="V9" s="33">
        <f>(Supuestos!B38/30)*Supuestos!B10*Supuestos!B35*Supuestos!B41/15</f>
        <v>13873.6</v>
      </c>
      <c r="W9" s="33">
        <f>(Supuestos!B38/30)*Supuestos!B10*Supuestos!B35*Supuestos!B41/15</f>
        <v>13873.6</v>
      </c>
      <c r="X9" s="33">
        <f>(Supuestos!B38/30)*Supuestos!B10*Supuestos!B35*Supuestos!B41/15</f>
        <v>13873.6</v>
      </c>
      <c r="Y9" s="33">
        <f>(Supuestos!B38/30)*Supuestos!B10*Supuestos!B35*Supuestos!B41/15</f>
        <v>13873.6</v>
      </c>
      <c r="Z9" s="33">
        <f>(Supuestos!B38/30)*Supuestos!B10*Supuestos!B35*Supuestos!B41/15</f>
        <v>13873.6</v>
      </c>
      <c r="AA9" s="33">
        <f>(Supuestos!B38/30)*Supuestos!B10*Supuestos!B35*Supuestos!B41/15</f>
        <v>13873.6</v>
      </c>
      <c r="AB9" s="33">
        <f>(Supuestos!B38/30)*Supuestos!B10*Supuestos!B35*Supuestos!B41/15</f>
        <v>13873.6</v>
      </c>
      <c r="AC9" s="33">
        <f>(Supuestos!B38/30)*Supuestos!B10*Supuestos!B35*Supuestos!B41/15</f>
        <v>13873.6</v>
      </c>
      <c r="AD9" s="33">
        <f>(Supuestos!B38/30)*Supuestos!B10*Supuestos!B35*Supuestos!B41/15</f>
        <v>13873.6</v>
      </c>
      <c r="AE9" s="33">
        <f>(Supuestos!B38/30)*Supuestos!B10*Supuestos!B35*Supuestos!B41/15</f>
        <v>13873.6</v>
      </c>
      <c r="AF9" s="33">
        <f>(Supuestos!B38/30)*Supuestos!B10*Supuestos!B35*Supuestos!B41/15</f>
        <v>13873.6</v>
      </c>
      <c r="AG9" s="33">
        <f>(Supuestos!B38/30)*Supuestos!B10*Supuestos!B35*Supuestos!B41/15</f>
        <v>13873.6</v>
      </c>
      <c r="AH9" s="33">
        <f>(Supuestos!B38/30)*Supuestos!B10*Supuestos!B35*Supuestos!B41/15</f>
        <v>13873.6</v>
      </c>
      <c r="AI9" s="33">
        <f>(Supuestos!B38/30)*Supuestos!B10*Supuestos!B35*Supuestos!B41/15</f>
        <v>13873.6</v>
      </c>
      <c r="AJ9" s="33">
        <f>(Supuestos!B38/30)*Supuestos!B10*Supuestos!B35*Supuestos!B41/15</f>
        <v>13873.6</v>
      </c>
      <c r="AK9" s="33">
        <f>(Supuestos!B38/30)*Supuestos!B10*Supuestos!B35*Supuestos!B41/15</f>
        <v>13873.6</v>
      </c>
      <c r="AL9" s="33">
        <f>(Supuestos!B38/30)*Supuestos!B10*Supuestos!B35*Supuestos!B41/15</f>
        <v>13873.6</v>
      </c>
      <c r="AM9" s="33">
        <f>(Supuestos!B38/30)*Supuestos!B10*Supuestos!B35*Supuestos!B41/15</f>
        <v>13873.6</v>
      </c>
      <c r="AN9" s="33">
        <f>(Supuestos!B38/30)*Supuestos!B10*Supuestos!B35*Supuestos!B41/15</f>
        <v>13873.6</v>
      </c>
      <c r="AO9" s="33">
        <v>0</v>
      </c>
      <c r="AP9" s="33">
        <v>0</v>
      </c>
      <c r="AQ9" s="33">
        <v>0</v>
      </c>
      <c r="AR9" s="33">
        <v>0</v>
      </c>
      <c r="AS9" s="33">
        <v>0</v>
      </c>
      <c r="AT9" s="33">
        <v>0</v>
      </c>
      <c r="AU9" s="34">
        <f t="shared" si="0"/>
        <v>402334.39999999985</v>
      </c>
    </row>
    <row r="10" spans="1:48" ht="15" customHeight="1" x14ac:dyDescent="0.25">
      <c r="A10" s="31" t="s">
        <v>157</v>
      </c>
      <c r="B10" s="32" t="s">
        <v>153</v>
      </c>
      <c r="C10" s="33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3">
        <v>0</v>
      </c>
      <c r="X10" s="33">
        <v>0</v>
      </c>
      <c r="Y10" s="33">
        <v>0</v>
      </c>
      <c r="Z10" s="33">
        <v>0</v>
      </c>
      <c r="AA10" s="33">
        <v>0</v>
      </c>
      <c r="AB10" s="33">
        <v>0</v>
      </c>
      <c r="AC10" s="33">
        <v>0</v>
      </c>
      <c r="AD10" s="33">
        <v>0</v>
      </c>
      <c r="AE10" s="33">
        <v>0</v>
      </c>
      <c r="AF10" s="33">
        <v>0</v>
      </c>
      <c r="AG10" s="33">
        <v>0</v>
      </c>
      <c r="AH10" s="33">
        <v>0</v>
      </c>
      <c r="AI10" s="33">
        <v>0</v>
      </c>
      <c r="AJ10" s="33">
        <v>0</v>
      </c>
      <c r="AK10" s="33">
        <v>0</v>
      </c>
      <c r="AL10" s="33">
        <v>0</v>
      </c>
      <c r="AM10" s="33">
        <v>0</v>
      </c>
      <c r="AN10" s="33">
        <v>0</v>
      </c>
      <c r="AO10" s="33">
        <f>(Supuestos!B37/3)*Supuestos!B10*Supuestos!B34*Supuestos!B42*(1-Supuestos!B43)</f>
        <v>93860</v>
      </c>
      <c r="AP10" s="33">
        <f>(Supuestos!B37/3)*Supuestos!B10*Supuestos!B34*Supuestos!B42*(1-Supuestos!B43)</f>
        <v>93860</v>
      </c>
      <c r="AQ10" s="33">
        <f>(Supuestos!B37/3)*Supuestos!B10*Supuestos!B34*Supuestos!B42*(1-Supuestos!B43)</f>
        <v>93860</v>
      </c>
      <c r="AR10" s="33">
        <v>0</v>
      </c>
      <c r="AS10" s="33">
        <v>0</v>
      </c>
      <c r="AT10" s="33">
        <v>0</v>
      </c>
      <c r="AU10" s="34">
        <f t="shared" si="0"/>
        <v>281580</v>
      </c>
    </row>
    <row r="11" spans="1:48" ht="15" customHeight="1" x14ac:dyDescent="0.25">
      <c r="A11" s="31" t="s">
        <v>158</v>
      </c>
      <c r="B11" s="32" t="s">
        <v>153</v>
      </c>
      <c r="C11" s="33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0</v>
      </c>
      <c r="M11" s="33">
        <v>0</v>
      </c>
      <c r="N11" s="33">
        <v>0</v>
      </c>
      <c r="O11" s="33">
        <v>0</v>
      </c>
      <c r="P11" s="33">
        <v>0</v>
      </c>
      <c r="Q11" s="33">
        <v>0</v>
      </c>
      <c r="R11" s="33">
        <v>0</v>
      </c>
      <c r="S11" s="33">
        <v>0</v>
      </c>
      <c r="T11" s="33">
        <v>0</v>
      </c>
      <c r="U11" s="33">
        <v>0</v>
      </c>
      <c r="V11" s="33">
        <v>0</v>
      </c>
      <c r="W11" s="33">
        <v>0</v>
      </c>
      <c r="X11" s="33">
        <v>0</v>
      </c>
      <c r="Y11" s="33">
        <v>0</v>
      </c>
      <c r="Z11" s="33">
        <v>0</v>
      </c>
      <c r="AA11" s="33">
        <v>0</v>
      </c>
      <c r="AB11" s="33">
        <v>0</v>
      </c>
      <c r="AC11" s="33">
        <v>0</v>
      </c>
      <c r="AD11" s="33">
        <v>0</v>
      </c>
      <c r="AE11" s="33">
        <v>0</v>
      </c>
      <c r="AF11" s="33">
        <v>0</v>
      </c>
      <c r="AG11" s="33">
        <v>0</v>
      </c>
      <c r="AH11" s="33">
        <v>0</v>
      </c>
      <c r="AI11" s="33">
        <v>0</v>
      </c>
      <c r="AJ11" s="33">
        <v>0</v>
      </c>
      <c r="AK11" s="33">
        <v>0</v>
      </c>
      <c r="AL11" s="33">
        <v>0</v>
      </c>
      <c r="AM11" s="33">
        <v>0</v>
      </c>
      <c r="AN11" s="33">
        <v>0</v>
      </c>
      <c r="AO11" s="33">
        <f>(Supuestos!B38/5)*Supuestos!B10*Supuestos!B35*Supuestos!B42*(1-Supuestos!B43)</f>
        <v>136344</v>
      </c>
      <c r="AP11" s="33">
        <f>(Supuestos!B38/5)*Supuestos!B10*Supuestos!B35*Supuestos!B42*(1-Supuestos!B43)</f>
        <v>136344</v>
      </c>
      <c r="AQ11" s="33">
        <f>(Supuestos!B38/5)*Supuestos!B10*Supuestos!B35*Supuestos!B42*(1-Supuestos!B43)</f>
        <v>136344</v>
      </c>
      <c r="AR11" s="33">
        <f>(Supuestos!B38/5)*Supuestos!B10*Supuestos!B35*Supuestos!B42*(1-Supuestos!B43)</f>
        <v>136344</v>
      </c>
      <c r="AS11" s="33">
        <f>(Supuestos!B38/5)*Supuestos!B10*Supuestos!B35*Supuestos!B42*(1-Supuestos!B43)</f>
        <v>136344</v>
      </c>
      <c r="AT11" s="33">
        <v>0</v>
      </c>
      <c r="AU11" s="34">
        <f t="shared" si="0"/>
        <v>681720</v>
      </c>
    </row>
    <row r="12" spans="1:48" ht="15" customHeight="1" x14ac:dyDescent="0.25">
      <c r="A12" s="31" t="s">
        <v>159</v>
      </c>
      <c r="B12" s="32" t="s">
        <v>153</v>
      </c>
      <c r="C12" s="33">
        <v>0</v>
      </c>
      <c r="D12" s="33">
        <v>0</v>
      </c>
      <c r="E12" s="33">
        <v>0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0</v>
      </c>
      <c r="M12" s="33">
        <v>0</v>
      </c>
      <c r="N12" s="33">
        <v>0</v>
      </c>
      <c r="O12" s="33">
        <v>0</v>
      </c>
      <c r="P12" s="33">
        <v>0</v>
      </c>
      <c r="Q12" s="33">
        <v>0</v>
      </c>
      <c r="R12" s="33">
        <v>0</v>
      </c>
      <c r="S12" s="33">
        <v>0</v>
      </c>
      <c r="T12" s="33">
        <v>0</v>
      </c>
      <c r="U12" s="33">
        <v>0</v>
      </c>
      <c r="V12" s="33">
        <v>0</v>
      </c>
      <c r="W12" s="33">
        <v>0</v>
      </c>
      <c r="X12" s="33">
        <v>0</v>
      </c>
      <c r="Y12" s="33">
        <v>0</v>
      </c>
      <c r="Z12" s="33">
        <v>0</v>
      </c>
      <c r="AA12" s="33">
        <v>0</v>
      </c>
      <c r="AB12" s="33">
        <v>0</v>
      </c>
      <c r="AC12" s="33">
        <v>0</v>
      </c>
      <c r="AD12" s="33">
        <v>0</v>
      </c>
      <c r="AE12" s="33">
        <v>0</v>
      </c>
      <c r="AF12" s="33">
        <v>0</v>
      </c>
      <c r="AG12" s="33">
        <v>0</v>
      </c>
      <c r="AH12" s="33">
        <v>0</v>
      </c>
      <c r="AI12" s="33">
        <v>0</v>
      </c>
      <c r="AJ12" s="33">
        <v>0</v>
      </c>
      <c r="AK12" s="33">
        <v>0</v>
      </c>
      <c r="AL12" s="33">
        <v>0</v>
      </c>
      <c r="AM12" s="33">
        <v>0</v>
      </c>
      <c r="AN12" s="33">
        <v>0</v>
      </c>
      <c r="AO12" s="33">
        <v>0</v>
      </c>
      <c r="AP12" s="33">
        <f>(Supuestos!B39/5)*Supuestos!B10*Supuestos!B36*(1-Supuestos!B43)</f>
        <v>256880</v>
      </c>
      <c r="AQ12" s="33">
        <f>(Supuestos!B39/5)*Supuestos!B10*Supuestos!B36*(1-Supuestos!B43)</f>
        <v>256880</v>
      </c>
      <c r="AR12" s="33">
        <f>(Supuestos!B39/5)*Supuestos!B10*Supuestos!B36*(1-Supuestos!B43)</f>
        <v>256880</v>
      </c>
      <c r="AS12" s="33">
        <f>(Supuestos!B39/5)*Supuestos!B10*Supuestos!B36*(1-Supuestos!B43)</f>
        <v>256880</v>
      </c>
      <c r="AT12" s="33">
        <f>(Supuestos!B39/5)*Supuestos!B10*Supuestos!B36*(1-Supuestos!B43)</f>
        <v>256880</v>
      </c>
      <c r="AU12" s="34">
        <f t="shared" si="0"/>
        <v>1284400</v>
      </c>
    </row>
    <row r="13" spans="1:48" ht="15.75" customHeight="1" x14ac:dyDescent="0.25">
      <c r="A13" s="35" t="s">
        <v>160</v>
      </c>
      <c r="B13" s="32" t="s">
        <v>153</v>
      </c>
      <c r="C13" s="36">
        <f t="shared" ref="C13:AT13" si="1">SUM(C6:C12)</f>
        <v>11115</v>
      </c>
      <c r="D13" s="36">
        <f t="shared" si="1"/>
        <v>11115</v>
      </c>
      <c r="E13" s="36">
        <f t="shared" si="1"/>
        <v>11115</v>
      </c>
      <c r="F13" s="36">
        <f t="shared" si="1"/>
        <v>11115</v>
      </c>
      <c r="G13" s="36">
        <f t="shared" si="1"/>
        <v>11115</v>
      </c>
      <c r="H13" s="36">
        <f t="shared" si="1"/>
        <v>11115</v>
      </c>
      <c r="I13" s="36">
        <f t="shared" si="1"/>
        <v>11115</v>
      </c>
      <c r="J13" s="36">
        <f t="shared" si="1"/>
        <v>11115</v>
      </c>
      <c r="K13" s="36">
        <f t="shared" si="1"/>
        <v>93132</v>
      </c>
      <c r="L13" s="36">
        <f t="shared" si="1"/>
        <v>107005.6</v>
      </c>
      <c r="M13" s="36">
        <f t="shared" si="1"/>
        <v>107005.6</v>
      </c>
      <c r="N13" s="36">
        <f t="shared" si="1"/>
        <v>107005.6</v>
      </c>
      <c r="O13" s="36">
        <f t="shared" si="1"/>
        <v>107005.6</v>
      </c>
      <c r="P13" s="36">
        <f t="shared" si="1"/>
        <v>107005.6</v>
      </c>
      <c r="Q13" s="36">
        <f t="shared" si="1"/>
        <v>107005.6</v>
      </c>
      <c r="R13" s="36">
        <f t="shared" si="1"/>
        <v>107005.6</v>
      </c>
      <c r="S13" s="36">
        <f t="shared" si="1"/>
        <v>107005.6</v>
      </c>
      <c r="T13" s="36">
        <f t="shared" si="1"/>
        <v>107005.6</v>
      </c>
      <c r="U13" s="36">
        <f t="shared" si="1"/>
        <v>107005.6</v>
      </c>
      <c r="V13" s="36">
        <f t="shared" si="1"/>
        <v>107005.6</v>
      </c>
      <c r="W13" s="36">
        <f t="shared" si="1"/>
        <v>107005.6</v>
      </c>
      <c r="X13" s="36">
        <f t="shared" si="1"/>
        <v>107005.6</v>
      </c>
      <c r="Y13" s="36">
        <f t="shared" si="1"/>
        <v>107005.6</v>
      </c>
      <c r="Z13" s="36">
        <f t="shared" si="1"/>
        <v>107005.6</v>
      </c>
      <c r="AA13" s="36">
        <f t="shared" si="1"/>
        <v>107005.6</v>
      </c>
      <c r="AB13" s="36">
        <f t="shared" si="1"/>
        <v>107005.6</v>
      </c>
      <c r="AC13" s="36">
        <f t="shared" si="1"/>
        <v>107005.6</v>
      </c>
      <c r="AD13" s="36">
        <f t="shared" si="1"/>
        <v>107005.6</v>
      </c>
      <c r="AE13" s="36">
        <f t="shared" si="1"/>
        <v>107005.6</v>
      </c>
      <c r="AF13" s="36">
        <f t="shared" si="1"/>
        <v>107005.6</v>
      </c>
      <c r="AG13" s="36">
        <f t="shared" si="1"/>
        <v>107005.6</v>
      </c>
      <c r="AH13" s="36">
        <f t="shared" si="1"/>
        <v>107005.6</v>
      </c>
      <c r="AI13" s="36">
        <f t="shared" si="1"/>
        <v>107005.6</v>
      </c>
      <c r="AJ13" s="36">
        <f t="shared" si="1"/>
        <v>107005.6</v>
      </c>
      <c r="AK13" s="36">
        <f t="shared" si="1"/>
        <v>107005.6</v>
      </c>
      <c r="AL13" s="36">
        <f t="shared" si="1"/>
        <v>107005.6</v>
      </c>
      <c r="AM13" s="36">
        <f t="shared" si="1"/>
        <v>107005.6</v>
      </c>
      <c r="AN13" s="36">
        <f t="shared" si="1"/>
        <v>107005.6</v>
      </c>
      <c r="AO13" s="36">
        <f t="shared" si="1"/>
        <v>230204</v>
      </c>
      <c r="AP13" s="36">
        <f t="shared" si="1"/>
        <v>487084</v>
      </c>
      <c r="AQ13" s="36">
        <f t="shared" si="1"/>
        <v>487084</v>
      </c>
      <c r="AR13" s="36">
        <f t="shared" si="1"/>
        <v>393224</v>
      </c>
      <c r="AS13" s="36">
        <f t="shared" si="1"/>
        <v>393224</v>
      </c>
      <c r="AT13" s="36">
        <f t="shared" si="1"/>
        <v>256880</v>
      </c>
      <c r="AU13" s="34">
        <f t="shared" si="0"/>
        <v>5532914.4000000022</v>
      </c>
    </row>
    <row r="14" spans="1:48" ht="18" customHeight="1" x14ac:dyDescent="0.25">
      <c r="A14" s="9" t="s">
        <v>161</v>
      </c>
      <c r="B14" s="9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  <c r="AD14" s="37"/>
      <c r="AE14" s="37"/>
      <c r="AF14" s="37"/>
      <c r="AG14" s="37"/>
      <c r="AH14" s="37"/>
      <c r="AI14" s="37"/>
      <c r="AJ14" s="37"/>
      <c r="AK14" s="37"/>
      <c r="AL14" s="37"/>
      <c r="AM14" s="37"/>
      <c r="AN14" s="37"/>
      <c r="AO14" s="37"/>
      <c r="AP14" s="37"/>
      <c r="AQ14" s="37"/>
      <c r="AR14" s="37"/>
      <c r="AS14" s="37"/>
      <c r="AT14" s="37"/>
      <c r="AU14" s="37"/>
      <c r="AV14" s="37"/>
    </row>
    <row r="15" spans="1:48" ht="15" customHeight="1" x14ac:dyDescent="0.25">
      <c r="A15" s="31" t="s">
        <v>162</v>
      </c>
      <c r="B15" s="32" t="s">
        <v>153</v>
      </c>
      <c r="C15" s="38">
        <f>-Supuestos!B14</f>
        <v>-500000</v>
      </c>
      <c r="D15" s="33">
        <v>0</v>
      </c>
      <c r="E15" s="33">
        <v>0</v>
      </c>
      <c r="F15" s="33">
        <v>0</v>
      </c>
      <c r="G15" s="33">
        <v>0</v>
      </c>
      <c r="H15" s="33">
        <v>0</v>
      </c>
      <c r="I15" s="33">
        <v>0</v>
      </c>
      <c r="J15" s="33">
        <v>0</v>
      </c>
      <c r="K15" s="33">
        <v>0</v>
      </c>
      <c r="L15" s="33">
        <v>0</v>
      </c>
      <c r="M15" s="33">
        <v>0</v>
      </c>
      <c r="N15" s="33">
        <v>0</v>
      </c>
      <c r="O15" s="33">
        <v>0</v>
      </c>
      <c r="P15" s="33">
        <v>0</v>
      </c>
      <c r="Q15" s="33">
        <v>0</v>
      </c>
      <c r="R15" s="33">
        <v>0</v>
      </c>
      <c r="S15" s="33">
        <v>0</v>
      </c>
      <c r="T15" s="33">
        <v>0</v>
      </c>
      <c r="U15" s="33">
        <v>0</v>
      </c>
      <c r="V15" s="33">
        <v>0</v>
      </c>
      <c r="W15" s="33">
        <v>0</v>
      </c>
      <c r="X15" s="33">
        <v>0</v>
      </c>
      <c r="Y15" s="33">
        <v>0</v>
      </c>
      <c r="Z15" s="33">
        <v>0</v>
      </c>
      <c r="AA15" s="33">
        <v>0</v>
      </c>
      <c r="AB15" s="33">
        <v>0</v>
      </c>
      <c r="AC15" s="33">
        <v>0</v>
      </c>
      <c r="AD15" s="33">
        <v>0</v>
      </c>
      <c r="AE15" s="33">
        <v>0</v>
      </c>
      <c r="AF15" s="33">
        <v>0</v>
      </c>
      <c r="AG15" s="33">
        <v>0</v>
      </c>
      <c r="AH15" s="33">
        <v>0</v>
      </c>
      <c r="AI15" s="33">
        <v>0</v>
      </c>
      <c r="AJ15" s="33">
        <v>0</v>
      </c>
      <c r="AK15" s="33">
        <v>0</v>
      </c>
      <c r="AL15" s="33">
        <v>0</v>
      </c>
      <c r="AM15" s="33">
        <v>0</v>
      </c>
      <c r="AN15" s="33">
        <v>0</v>
      </c>
      <c r="AO15" s="33">
        <v>0</v>
      </c>
      <c r="AP15" s="33">
        <v>0</v>
      </c>
      <c r="AQ15" s="33">
        <v>0</v>
      </c>
      <c r="AR15" s="33">
        <v>0</v>
      </c>
      <c r="AS15" s="33">
        <v>0</v>
      </c>
      <c r="AT15" s="33">
        <v>0</v>
      </c>
      <c r="AU15" s="39">
        <f>SUM(C15:AT15)</f>
        <v>-500000</v>
      </c>
    </row>
    <row r="16" spans="1:48" ht="15" customHeight="1" x14ac:dyDescent="0.25">
      <c r="A16" s="31" t="s">
        <v>163</v>
      </c>
      <c r="B16" s="32" t="s">
        <v>153</v>
      </c>
      <c r="C16" s="33">
        <f>-Supuestos!B14*0.015</f>
        <v>-7500</v>
      </c>
      <c r="D16" s="33">
        <v>0</v>
      </c>
      <c r="E16" s="33">
        <v>0</v>
      </c>
      <c r="F16" s="33">
        <v>0</v>
      </c>
      <c r="G16" s="33">
        <v>0</v>
      </c>
      <c r="H16" s="33">
        <v>0</v>
      </c>
      <c r="I16" s="33">
        <v>0</v>
      </c>
      <c r="J16" s="33">
        <v>0</v>
      </c>
      <c r="K16" s="33">
        <v>0</v>
      </c>
      <c r="L16" s="33">
        <v>0</v>
      </c>
      <c r="M16" s="33">
        <v>0</v>
      </c>
      <c r="N16" s="33">
        <v>0</v>
      </c>
      <c r="O16" s="33">
        <v>0</v>
      </c>
      <c r="P16" s="33">
        <v>0</v>
      </c>
      <c r="Q16" s="33">
        <v>0</v>
      </c>
      <c r="R16" s="33">
        <v>0</v>
      </c>
      <c r="S16" s="33">
        <v>0</v>
      </c>
      <c r="T16" s="33">
        <v>0</v>
      </c>
      <c r="U16" s="33">
        <v>0</v>
      </c>
      <c r="V16" s="33">
        <v>0</v>
      </c>
      <c r="W16" s="33">
        <v>0</v>
      </c>
      <c r="X16" s="33">
        <v>0</v>
      </c>
      <c r="Y16" s="33">
        <v>0</v>
      </c>
      <c r="Z16" s="33">
        <v>0</v>
      </c>
      <c r="AA16" s="33">
        <v>0</v>
      </c>
      <c r="AB16" s="33">
        <v>0</v>
      </c>
      <c r="AC16" s="33">
        <v>0</v>
      </c>
      <c r="AD16" s="33">
        <v>0</v>
      </c>
      <c r="AE16" s="33">
        <v>0</v>
      </c>
      <c r="AF16" s="33">
        <v>0</v>
      </c>
      <c r="AG16" s="33">
        <v>0</v>
      </c>
      <c r="AH16" s="33">
        <v>0</v>
      </c>
      <c r="AI16" s="33">
        <v>0</v>
      </c>
      <c r="AJ16" s="33">
        <v>0</v>
      </c>
      <c r="AK16" s="33">
        <v>0</v>
      </c>
      <c r="AL16" s="33">
        <v>0</v>
      </c>
      <c r="AM16" s="33">
        <v>0</v>
      </c>
      <c r="AN16" s="33">
        <v>0</v>
      </c>
      <c r="AO16" s="33">
        <v>0</v>
      </c>
      <c r="AP16" s="33">
        <v>0</v>
      </c>
      <c r="AQ16" s="33">
        <v>0</v>
      </c>
      <c r="AR16" s="33">
        <v>0</v>
      </c>
      <c r="AS16" s="33">
        <v>0</v>
      </c>
      <c r="AT16" s="33">
        <v>0</v>
      </c>
      <c r="AU16" s="39">
        <f>SUM(C16:AT16)</f>
        <v>-7500</v>
      </c>
    </row>
    <row r="17" spans="1:48" ht="15" customHeight="1" x14ac:dyDescent="0.25">
      <c r="A17" s="31" t="s">
        <v>164</v>
      </c>
      <c r="B17" s="32" t="s">
        <v>153</v>
      </c>
      <c r="C17" s="33">
        <v>0</v>
      </c>
      <c r="D17" s="33">
        <v>0</v>
      </c>
      <c r="E17" s="33">
        <v>0</v>
      </c>
      <c r="F17" s="33">
        <v>0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0</v>
      </c>
      <c r="T17" s="33">
        <v>0</v>
      </c>
      <c r="U17" s="33">
        <v>0</v>
      </c>
      <c r="V17" s="33">
        <v>0</v>
      </c>
      <c r="W17" s="33">
        <v>0</v>
      </c>
      <c r="X17" s="33">
        <v>0</v>
      </c>
      <c r="Y17" s="33">
        <v>0</v>
      </c>
      <c r="Z17" s="33">
        <v>0</v>
      </c>
      <c r="AA17" s="33">
        <v>0</v>
      </c>
      <c r="AB17" s="33">
        <v>0</v>
      </c>
      <c r="AC17" s="33">
        <v>0</v>
      </c>
      <c r="AD17" s="33">
        <v>0</v>
      </c>
      <c r="AE17" s="33">
        <v>0</v>
      </c>
      <c r="AF17" s="33">
        <v>0</v>
      </c>
      <c r="AG17" s="33">
        <v>0</v>
      </c>
      <c r="AH17" s="33">
        <v>0</v>
      </c>
      <c r="AI17" s="33">
        <v>0</v>
      </c>
      <c r="AJ17" s="33">
        <v>0</v>
      </c>
      <c r="AK17" s="33">
        <v>0</v>
      </c>
      <c r="AL17" s="33">
        <v>0</v>
      </c>
      <c r="AM17" s="33">
        <v>0</v>
      </c>
      <c r="AN17" s="33">
        <v>0</v>
      </c>
      <c r="AO17" s="33">
        <v>0</v>
      </c>
      <c r="AP17" s="33">
        <v>0</v>
      </c>
      <c r="AQ17" s="33">
        <v>0</v>
      </c>
      <c r="AR17" s="33">
        <v>0</v>
      </c>
      <c r="AS17" s="33">
        <v>0</v>
      </c>
      <c r="AT17" s="33">
        <v>0</v>
      </c>
      <c r="AU17" s="39">
        <f>SUM(C17:AT17)</f>
        <v>0</v>
      </c>
    </row>
    <row r="18" spans="1:48" ht="15.75" customHeight="1" x14ac:dyDescent="0.25">
      <c r="A18" s="40" t="s">
        <v>165</v>
      </c>
      <c r="B18" s="32" t="s">
        <v>153</v>
      </c>
      <c r="C18" s="41">
        <f t="shared" ref="C18:AT18" si="2">SUM(C15:C17)</f>
        <v>-507500</v>
      </c>
      <c r="D18" s="41">
        <f t="shared" si="2"/>
        <v>0</v>
      </c>
      <c r="E18" s="41">
        <f t="shared" si="2"/>
        <v>0</v>
      </c>
      <c r="F18" s="41">
        <f t="shared" si="2"/>
        <v>0</v>
      </c>
      <c r="G18" s="41">
        <f t="shared" si="2"/>
        <v>0</v>
      </c>
      <c r="H18" s="41">
        <f t="shared" si="2"/>
        <v>0</v>
      </c>
      <c r="I18" s="41">
        <f t="shared" si="2"/>
        <v>0</v>
      </c>
      <c r="J18" s="41">
        <f t="shared" si="2"/>
        <v>0</v>
      </c>
      <c r="K18" s="41">
        <f t="shared" si="2"/>
        <v>0</v>
      </c>
      <c r="L18" s="41">
        <f t="shared" si="2"/>
        <v>0</v>
      </c>
      <c r="M18" s="41">
        <f t="shared" si="2"/>
        <v>0</v>
      </c>
      <c r="N18" s="41">
        <f t="shared" si="2"/>
        <v>0</v>
      </c>
      <c r="O18" s="41">
        <f t="shared" si="2"/>
        <v>0</v>
      </c>
      <c r="P18" s="41">
        <f t="shared" si="2"/>
        <v>0</v>
      </c>
      <c r="Q18" s="41">
        <f t="shared" si="2"/>
        <v>0</v>
      </c>
      <c r="R18" s="41">
        <f t="shared" si="2"/>
        <v>0</v>
      </c>
      <c r="S18" s="41">
        <f t="shared" si="2"/>
        <v>0</v>
      </c>
      <c r="T18" s="41">
        <f t="shared" si="2"/>
        <v>0</v>
      </c>
      <c r="U18" s="41">
        <f t="shared" si="2"/>
        <v>0</v>
      </c>
      <c r="V18" s="41">
        <f t="shared" si="2"/>
        <v>0</v>
      </c>
      <c r="W18" s="41">
        <f t="shared" si="2"/>
        <v>0</v>
      </c>
      <c r="X18" s="41">
        <f t="shared" si="2"/>
        <v>0</v>
      </c>
      <c r="Y18" s="41">
        <f t="shared" si="2"/>
        <v>0</v>
      </c>
      <c r="Z18" s="41">
        <f t="shared" si="2"/>
        <v>0</v>
      </c>
      <c r="AA18" s="41">
        <f t="shared" si="2"/>
        <v>0</v>
      </c>
      <c r="AB18" s="41">
        <f t="shared" si="2"/>
        <v>0</v>
      </c>
      <c r="AC18" s="41">
        <f t="shared" si="2"/>
        <v>0</v>
      </c>
      <c r="AD18" s="41">
        <f t="shared" si="2"/>
        <v>0</v>
      </c>
      <c r="AE18" s="41">
        <f t="shared" si="2"/>
        <v>0</v>
      </c>
      <c r="AF18" s="41">
        <f t="shared" si="2"/>
        <v>0</v>
      </c>
      <c r="AG18" s="41">
        <f t="shared" si="2"/>
        <v>0</v>
      </c>
      <c r="AH18" s="41">
        <f t="shared" si="2"/>
        <v>0</v>
      </c>
      <c r="AI18" s="41">
        <f t="shared" si="2"/>
        <v>0</v>
      </c>
      <c r="AJ18" s="41">
        <f t="shared" si="2"/>
        <v>0</v>
      </c>
      <c r="AK18" s="41">
        <f t="shared" si="2"/>
        <v>0</v>
      </c>
      <c r="AL18" s="41">
        <f t="shared" si="2"/>
        <v>0</v>
      </c>
      <c r="AM18" s="41">
        <f t="shared" si="2"/>
        <v>0</v>
      </c>
      <c r="AN18" s="41">
        <f t="shared" si="2"/>
        <v>0</v>
      </c>
      <c r="AO18" s="41">
        <f t="shared" si="2"/>
        <v>0</v>
      </c>
      <c r="AP18" s="41">
        <f t="shared" si="2"/>
        <v>0</v>
      </c>
      <c r="AQ18" s="41">
        <f t="shared" si="2"/>
        <v>0</v>
      </c>
      <c r="AR18" s="41">
        <f t="shared" si="2"/>
        <v>0</v>
      </c>
      <c r="AS18" s="41">
        <f t="shared" si="2"/>
        <v>0</v>
      </c>
      <c r="AT18" s="41">
        <f t="shared" si="2"/>
        <v>0</v>
      </c>
      <c r="AU18" s="39">
        <f>SUM(C18:AT18)</f>
        <v>-507500</v>
      </c>
    </row>
    <row r="19" spans="1:48" ht="18" customHeight="1" x14ac:dyDescent="0.25">
      <c r="A19" s="8" t="s">
        <v>166</v>
      </c>
      <c r="B19" s="8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</row>
    <row r="20" spans="1:48" ht="15" customHeight="1" x14ac:dyDescent="0.25">
      <c r="A20" s="31" t="s">
        <v>167</v>
      </c>
      <c r="B20" s="32" t="s">
        <v>153</v>
      </c>
      <c r="C20" s="33">
        <v>0</v>
      </c>
      <c r="D20" s="33">
        <v>0</v>
      </c>
      <c r="E20" s="33">
        <v>0</v>
      </c>
      <c r="F20" s="33">
        <v>0</v>
      </c>
      <c r="G20" s="33">
        <v>0</v>
      </c>
      <c r="H20" s="33">
        <v>0</v>
      </c>
      <c r="I20" s="33">
        <v>0</v>
      </c>
      <c r="J20" s="33">
        <v>0</v>
      </c>
      <c r="K20" s="33">
        <f>-Supuestos!B20*0.010811</f>
        <v>-42162.899999999994</v>
      </c>
      <c r="L20" s="33">
        <f>-Supuestos!B20*0.016216</f>
        <v>-63242.400000000001</v>
      </c>
      <c r="M20" s="33">
        <f>-Supuestos!B20*0.021622</f>
        <v>-84325.799999999988</v>
      </c>
      <c r="N20" s="33">
        <f>-Supuestos!B20*0.032432</f>
        <v>-126484.8</v>
      </c>
      <c r="O20" s="33">
        <f>-Supuestos!B20*0.037838</f>
        <v>-147568.19999999998</v>
      </c>
      <c r="P20" s="33">
        <f>-Supuestos!B20*0.043243</f>
        <v>-168647.69999999998</v>
      </c>
      <c r="Q20" s="33">
        <f>-Supuestos!B20*0.048649</f>
        <v>-189731.1</v>
      </c>
      <c r="R20" s="33">
        <f>-Supuestos!B20*0.054054</f>
        <v>-210810.6</v>
      </c>
      <c r="S20" s="33">
        <f>-Supuestos!B20*0.054054</f>
        <v>-210810.6</v>
      </c>
      <c r="T20" s="33">
        <f>-Supuestos!B20*0.054054</f>
        <v>-210810.6</v>
      </c>
      <c r="U20" s="33">
        <f>-Supuestos!B20*0.048649</f>
        <v>-189731.1</v>
      </c>
      <c r="V20" s="33">
        <f>-Supuestos!B20*0.048649</f>
        <v>-189731.1</v>
      </c>
      <c r="W20" s="33">
        <f>-Supuestos!B20*0.043243</f>
        <v>-168647.69999999998</v>
      </c>
      <c r="X20" s="33">
        <f>-Supuestos!B20*0.043243</f>
        <v>-168647.69999999998</v>
      </c>
      <c r="Y20" s="33">
        <f>-Supuestos!B20*0.037838</f>
        <v>-147568.19999999998</v>
      </c>
      <c r="Z20" s="33">
        <f>-Supuestos!B20*0.037838</f>
        <v>-147568.19999999998</v>
      </c>
      <c r="AA20" s="33">
        <f>-Supuestos!B20*0.037838</f>
        <v>-147568.19999999998</v>
      </c>
      <c r="AB20" s="33">
        <f>-Supuestos!B20*0.037838</f>
        <v>-147568.19999999998</v>
      </c>
      <c r="AC20" s="33">
        <f>-Supuestos!B20*0.032432</f>
        <v>-126484.8</v>
      </c>
      <c r="AD20" s="33">
        <f>-Supuestos!B20*0.032432</f>
        <v>-126484.8</v>
      </c>
      <c r="AE20" s="33">
        <f>-Supuestos!B20*0.032432</f>
        <v>-126484.8</v>
      </c>
      <c r="AF20" s="33">
        <f>-Supuestos!B20*0.027027</f>
        <v>-105405.3</v>
      </c>
      <c r="AG20" s="33">
        <f>-Supuestos!B20*0.027027</f>
        <v>-105405.3</v>
      </c>
      <c r="AH20" s="33">
        <f>-Supuestos!B20*0.027027</f>
        <v>-105405.3</v>
      </c>
      <c r="AI20" s="33">
        <f>-Supuestos!B20*0.027027</f>
        <v>-105405.3</v>
      </c>
      <c r="AJ20" s="33">
        <f>-Supuestos!B20*0.021622</f>
        <v>-84325.799999999988</v>
      </c>
      <c r="AK20" s="33">
        <f>-Supuestos!B20*0.021622</f>
        <v>-84325.799999999988</v>
      </c>
      <c r="AL20" s="33">
        <f>-Supuestos!B20*0.016216</f>
        <v>-63242.400000000001</v>
      </c>
      <c r="AM20" s="33">
        <f>-Supuestos!B20*0.016216</f>
        <v>-63242.400000000001</v>
      </c>
      <c r="AN20" s="33">
        <f>-Supuestos!B20*0.010811</f>
        <v>-42162.899999999994</v>
      </c>
      <c r="AO20" s="33">
        <v>0</v>
      </c>
      <c r="AP20" s="33">
        <v>0</v>
      </c>
      <c r="AQ20" s="33">
        <v>0</v>
      </c>
      <c r="AR20" s="33">
        <v>0</v>
      </c>
      <c r="AS20" s="33">
        <v>0</v>
      </c>
      <c r="AT20" s="33">
        <v>0</v>
      </c>
      <c r="AU20" s="43">
        <f t="shared" ref="AU20:AU25" si="3">SUM(C20:AT20)</f>
        <v>-3899999.9999999991</v>
      </c>
    </row>
    <row r="21" spans="1:48" ht="15" customHeight="1" x14ac:dyDescent="0.25">
      <c r="A21" s="31" t="s">
        <v>168</v>
      </c>
      <c r="B21" s="32" t="s">
        <v>153</v>
      </c>
      <c r="C21" s="33">
        <f>-Supuestos!B20*Supuestos!B21*0.3/8</f>
        <v>-8775</v>
      </c>
      <c r="D21" s="33">
        <f>-Supuestos!B20*Supuestos!B21*0.3/8</f>
        <v>-8775</v>
      </c>
      <c r="E21" s="33">
        <f>-Supuestos!B20*Supuestos!B21*0.3/8</f>
        <v>-8775</v>
      </c>
      <c r="F21" s="33">
        <f>-Supuestos!B20*Supuestos!B21*0.3/8</f>
        <v>-8775</v>
      </c>
      <c r="G21" s="33">
        <f>-Supuestos!B20*Supuestos!B21*0.3/8</f>
        <v>-8775</v>
      </c>
      <c r="H21" s="33">
        <f>-Supuestos!B20*Supuestos!B21*0.3/8</f>
        <v>-8775</v>
      </c>
      <c r="I21" s="33">
        <f>-Supuestos!B20*Supuestos!B21*0.3/8</f>
        <v>-8775</v>
      </c>
      <c r="J21" s="33">
        <f>-Supuestos!B20*Supuestos!B21*0.3/8</f>
        <v>-8775</v>
      </c>
      <c r="K21" s="33">
        <f>-Supuestos!B20*Supuestos!B21*0.6/30</f>
        <v>-4680</v>
      </c>
      <c r="L21" s="33">
        <f>-Supuestos!B20*Supuestos!B21*0.6/30</f>
        <v>-4680</v>
      </c>
      <c r="M21" s="33">
        <f>-Supuestos!B20*Supuestos!B21*0.6/30</f>
        <v>-4680</v>
      </c>
      <c r="N21" s="33">
        <f>-Supuestos!B20*Supuestos!B21*0.6/30</f>
        <v>-4680</v>
      </c>
      <c r="O21" s="33">
        <f>-Supuestos!B20*Supuestos!B21*0.6/30</f>
        <v>-4680</v>
      </c>
      <c r="P21" s="33">
        <f>-Supuestos!B20*Supuestos!B21*0.6/30</f>
        <v>-4680</v>
      </c>
      <c r="Q21" s="33">
        <f>-Supuestos!B20*Supuestos!B21*0.6/30</f>
        <v>-4680</v>
      </c>
      <c r="R21" s="33">
        <f>-Supuestos!B20*Supuestos!B21*0.6/30</f>
        <v>-4680</v>
      </c>
      <c r="S21" s="33">
        <f>-Supuestos!B20*Supuestos!B21*0.6/30</f>
        <v>-4680</v>
      </c>
      <c r="T21" s="33">
        <f>-Supuestos!B20*Supuestos!B21*0.6/30</f>
        <v>-4680</v>
      </c>
      <c r="U21" s="33">
        <f>-Supuestos!B20*Supuestos!B21*0.6/30</f>
        <v>-4680</v>
      </c>
      <c r="V21" s="33">
        <f>-Supuestos!B20*Supuestos!B21*0.6/30</f>
        <v>-4680</v>
      </c>
      <c r="W21" s="33">
        <f>-Supuestos!B20*Supuestos!B21*0.6/30</f>
        <v>-4680</v>
      </c>
      <c r="X21" s="33">
        <f>-Supuestos!B20*Supuestos!B21*0.6/30</f>
        <v>-4680</v>
      </c>
      <c r="Y21" s="33">
        <f>-Supuestos!B20*Supuestos!B21*0.6/30</f>
        <v>-4680</v>
      </c>
      <c r="Z21" s="33">
        <f>-Supuestos!B20*Supuestos!B21*0.6/30</f>
        <v>-4680</v>
      </c>
      <c r="AA21" s="33">
        <f>-Supuestos!B20*Supuestos!B21*0.6/30</f>
        <v>-4680</v>
      </c>
      <c r="AB21" s="33">
        <f>-Supuestos!B20*Supuestos!B21*0.6/30</f>
        <v>-4680</v>
      </c>
      <c r="AC21" s="33">
        <f>-Supuestos!B20*Supuestos!B21*0.6/30</f>
        <v>-4680</v>
      </c>
      <c r="AD21" s="33">
        <f>-Supuestos!B20*Supuestos!B21*0.6/30</f>
        <v>-4680</v>
      </c>
      <c r="AE21" s="33">
        <f>-Supuestos!B20*Supuestos!B21*0.6/30</f>
        <v>-4680</v>
      </c>
      <c r="AF21" s="33">
        <f>-Supuestos!B20*Supuestos!B21*0.6/30</f>
        <v>-4680</v>
      </c>
      <c r="AG21" s="33">
        <f>-Supuestos!B20*Supuestos!B21*0.6/30</f>
        <v>-4680</v>
      </c>
      <c r="AH21" s="33">
        <f>-Supuestos!B20*Supuestos!B21*0.6/30</f>
        <v>-4680</v>
      </c>
      <c r="AI21" s="33">
        <f>-Supuestos!B20*Supuestos!B21*0.6/30</f>
        <v>-4680</v>
      </c>
      <c r="AJ21" s="33">
        <f>-Supuestos!B20*Supuestos!B21*0.6/30</f>
        <v>-4680</v>
      </c>
      <c r="AK21" s="33">
        <f>-Supuestos!B20*Supuestos!B21*0.6/30</f>
        <v>-4680</v>
      </c>
      <c r="AL21" s="33">
        <f>-Supuestos!B20*Supuestos!B21*0.6/30</f>
        <v>-4680</v>
      </c>
      <c r="AM21" s="33">
        <f>-Supuestos!B20*Supuestos!B21*0.6/30</f>
        <v>-4680</v>
      </c>
      <c r="AN21" s="33">
        <f>-Supuestos!B20*Supuestos!B21*0.6/30</f>
        <v>-4680</v>
      </c>
      <c r="AO21" s="33">
        <f>-Supuestos!B20*Supuestos!B21*0.1</f>
        <v>-23400</v>
      </c>
      <c r="AP21" s="33">
        <v>0</v>
      </c>
      <c r="AQ21" s="33">
        <v>0</v>
      </c>
      <c r="AR21" s="33">
        <v>0</v>
      </c>
      <c r="AS21" s="33">
        <v>0</v>
      </c>
      <c r="AT21" s="33">
        <v>0</v>
      </c>
      <c r="AU21" s="43">
        <f t="shared" si="3"/>
        <v>-234000</v>
      </c>
    </row>
    <row r="22" spans="1:48" ht="15" customHeight="1" x14ac:dyDescent="0.25">
      <c r="A22" s="31" t="s">
        <v>169</v>
      </c>
      <c r="B22" s="32" t="s">
        <v>153</v>
      </c>
      <c r="C22" s="33">
        <v>0</v>
      </c>
      <c r="D22" s="33">
        <v>0</v>
      </c>
      <c r="E22" s="33">
        <v>0</v>
      </c>
      <c r="F22" s="33">
        <v>0</v>
      </c>
      <c r="G22" s="33">
        <f>-Supuestos!B20*Supuestos!B22*0.5</f>
        <v>-48750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X22" s="33">
        <v>0</v>
      </c>
      <c r="Y22" s="33">
        <v>0</v>
      </c>
      <c r="Z22" s="33">
        <v>0</v>
      </c>
      <c r="AA22" s="33">
        <v>0</v>
      </c>
      <c r="AB22" s="33">
        <v>0</v>
      </c>
      <c r="AC22" s="33">
        <v>0</v>
      </c>
      <c r="AD22" s="33">
        <v>0</v>
      </c>
      <c r="AE22" s="33">
        <v>0</v>
      </c>
      <c r="AF22" s="33">
        <v>0</v>
      </c>
      <c r="AG22" s="33">
        <v>0</v>
      </c>
      <c r="AH22" s="33">
        <v>0</v>
      </c>
      <c r="AI22" s="33">
        <v>0</v>
      </c>
      <c r="AJ22" s="33">
        <v>0</v>
      </c>
      <c r="AK22" s="33">
        <v>0</v>
      </c>
      <c r="AL22" s="33">
        <v>0</v>
      </c>
      <c r="AM22" s="33">
        <v>0</v>
      </c>
      <c r="AN22" s="33">
        <v>0</v>
      </c>
      <c r="AO22" s="33">
        <f>-Supuestos!B20*Supuestos!B22*0.5</f>
        <v>-48750</v>
      </c>
      <c r="AP22" s="33">
        <v>0</v>
      </c>
      <c r="AQ22" s="33">
        <v>0</v>
      </c>
      <c r="AR22" s="33">
        <v>0</v>
      </c>
      <c r="AS22" s="33">
        <v>0</v>
      </c>
      <c r="AT22" s="33">
        <v>0</v>
      </c>
      <c r="AU22" s="43">
        <f t="shared" si="3"/>
        <v>-97500</v>
      </c>
    </row>
    <row r="23" spans="1:48" ht="15" customHeight="1" x14ac:dyDescent="0.25">
      <c r="A23" s="31" t="s">
        <v>170</v>
      </c>
      <c r="B23" s="32" t="s">
        <v>153</v>
      </c>
      <c r="C23" s="33">
        <v>0</v>
      </c>
      <c r="D23" s="33">
        <v>0</v>
      </c>
      <c r="E23" s="33">
        <v>0</v>
      </c>
      <c r="F23" s="33">
        <v>0</v>
      </c>
      <c r="G23" s="33">
        <v>0</v>
      </c>
      <c r="H23" s="33">
        <v>0</v>
      </c>
      <c r="I23" s="33">
        <v>0</v>
      </c>
      <c r="J23" s="33">
        <v>0</v>
      </c>
      <c r="K23" s="33">
        <f>-Supuestos!B20*Supuestos!B23/30</f>
        <v>-5200</v>
      </c>
      <c r="L23" s="33">
        <f>-Supuestos!B20*Supuestos!B23/30</f>
        <v>-5200</v>
      </c>
      <c r="M23" s="33">
        <f>-Supuestos!B20*Supuestos!B23/30</f>
        <v>-5200</v>
      </c>
      <c r="N23" s="33">
        <f>-Supuestos!B20*Supuestos!B23/30</f>
        <v>-5200</v>
      </c>
      <c r="O23" s="33">
        <f>-Supuestos!B20*Supuestos!B23/30</f>
        <v>-5200</v>
      </c>
      <c r="P23" s="33">
        <f>-Supuestos!B20*Supuestos!B23/30</f>
        <v>-5200</v>
      </c>
      <c r="Q23" s="33">
        <f>-Supuestos!B20*Supuestos!B23/30</f>
        <v>-5200</v>
      </c>
      <c r="R23" s="33">
        <f>-Supuestos!B20*Supuestos!B23/30</f>
        <v>-5200</v>
      </c>
      <c r="S23" s="33">
        <f>-Supuestos!B20*Supuestos!B23/30</f>
        <v>-5200</v>
      </c>
      <c r="T23" s="33">
        <f>-Supuestos!B20*Supuestos!B23/30</f>
        <v>-5200</v>
      </c>
      <c r="U23" s="33">
        <f>-Supuestos!B20*Supuestos!B23/30</f>
        <v>-5200</v>
      </c>
      <c r="V23" s="33">
        <f>-Supuestos!B20*Supuestos!B23/30</f>
        <v>-5200</v>
      </c>
      <c r="W23" s="33">
        <f>-Supuestos!B20*Supuestos!B23/30</f>
        <v>-5200</v>
      </c>
      <c r="X23" s="33">
        <f>-Supuestos!B20*Supuestos!B23/30</f>
        <v>-5200</v>
      </c>
      <c r="Y23" s="33">
        <f>-Supuestos!B20*Supuestos!B23/30</f>
        <v>-5200</v>
      </c>
      <c r="Z23" s="33">
        <f>-Supuestos!B20*Supuestos!B23/30</f>
        <v>-5200</v>
      </c>
      <c r="AA23" s="33">
        <f>-Supuestos!B20*Supuestos!B23/30</f>
        <v>-5200</v>
      </c>
      <c r="AB23" s="33">
        <f>-Supuestos!B20*Supuestos!B23/30</f>
        <v>-5200</v>
      </c>
      <c r="AC23" s="33">
        <f>-Supuestos!B20*Supuestos!B23/30</f>
        <v>-5200</v>
      </c>
      <c r="AD23" s="33">
        <f>-Supuestos!B20*Supuestos!B23/30</f>
        <v>-5200</v>
      </c>
      <c r="AE23" s="33">
        <f>-Supuestos!B20*Supuestos!B23/30</f>
        <v>-5200</v>
      </c>
      <c r="AF23" s="33">
        <f>-Supuestos!B20*Supuestos!B23/30</f>
        <v>-5200</v>
      </c>
      <c r="AG23" s="33">
        <f>-Supuestos!B20*Supuestos!B23/30</f>
        <v>-5200</v>
      </c>
      <c r="AH23" s="33">
        <f>-Supuestos!B20*Supuestos!B23/30</f>
        <v>-5200</v>
      </c>
      <c r="AI23" s="33">
        <f>-Supuestos!B20*Supuestos!B23/30</f>
        <v>-5200</v>
      </c>
      <c r="AJ23" s="33">
        <f>-Supuestos!B20*Supuestos!B23/30</f>
        <v>-5200</v>
      </c>
      <c r="AK23" s="33">
        <f>-Supuestos!B20*Supuestos!B23/30</f>
        <v>-5200</v>
      </c>
      <c r="AL23" s="33">
        <f>-Supuestos!B20*Supuestos!B23/30</f>
        <v>-5200</v>
      </c>
      <c r="AM23" s="33">
        <f>-Supuestos!B20*Supuestos!B23/30</f>
        <v>-5200</v>
      </c>
      <c r="AN23" s="33">
        <f>-Supuestos!B20*Supuestos!B23/30</f>
        <v>-5200</v>
      </c>
      <c r="AO23" s="33">
        <v>0</v>
      </c>
      <c r="AP23" s="33">
        <v>0</v>
      </c>
      <c r="AQ23" s="33">
        <v>0</v>
      </c>
      <c r="AR23" s="33">
        <v>0</v>
      </c>
      <c r="AS23" s="33">
        <v>0</v>
      </c>
      <c r="AT23" s="33">
        <v>0</v>
      </c>
      <c r="AU23" s="43">
        <f t="shared" si="3"/>
        <v>-156000</v>
      </c>
    </row>
    <row r="24" spans="1:48" ht="15" customHeight="1" x14ac:dyDescent="0.25">
      <c r="A24" s="31" t="s">
        <v>171</v>
      </c>
      <c r="B24" s="32" t="s">
        <v>153</v>
      </c>
      <c r="C24" s="33">
        <v>0</v>
      </c>
      <c r="D24" s="33">
        <v>0</v>
      </c>
      <c r="E24" s="33">
        <v>0</v>
      </c>
      <c r="F24" s="33">
        <v>0</v>
      </c>
      <c r="G24" s="33">
        <v>0</v>
      </c>
      <c r="H24" s="33">
        <v>0</v>
      </c>
      <c r="I24" s="33">
        <v>0</v>
      </c>
      <c r="J24" s="33">
        <v>0</v>
      </c>
      <c r="K24" s="33">
        <f>-Supuestos!B20*Supuestos!B24*0.010811</f>
        <v>-5059.5479999999998</v>
      </c>
      <c r="L24" s="33">
        <f>-Supuestos!B20*Supuestos!B24*0.016216</f>
        <v>-7589.0880000000006</v>
      </c>
      <c r="M24" s="33">
        <f>-Supuestos!B20*Supuestos!B24*0.021622</f>
        <v>-10119.096</v>
      </c>
      <c r="N24" s="33">
        <f>-Supuestos!B20*Supuestos!B24*0.032432</f>
        <v>-15178.176000000001</v>
      </c>
      <c r="O24" s="33">
        <f>-Supuestos!B20*Supuestos!B24*0.037838</f>
        <v>-17708.183999999997</v>
      </c>
      <c r="P24" s="33">
        <f>-Supuestos!B20*Supuestos!B24*0.043243</f>
        <v>-20237.723999999998</v>
      </c>
      <c r="Q24" s="33">
        <f>-Supuestos!B20*Supuestos!B24*0.048649</f>
        <v>-22767.732</v>
      </c>
      <c r="R24" s="33">
        <f>-Supuestos!B20*Supuestos!B24*0.054054</f>
        <v>-25297.271999999997</v>
      </c>
      <c r="S24" s="33">
        <f>-Supuestos!B20*Supuestos!B24*0.054054</f>
        <v>-25297.271999999997</v>
      </c>
      <c r="T24" s="33">
        <f>-Supuestos!B20*Supuestos!B24*0.054054</f>
        <v>-25297.271999999997</v>
      </c>
      <c r="U24" s="33">
        <f>-Supuestos!B20*Supuestos!B24*0.048649</f>
        <v>-22767.732</v>
      </c>
      <c r="V24" s="33">
        <f>-Supuestos!B20*Supuestos!B24*0.048649</f>
        <v>-22767.732</v>
      </c>
      <c r="W24" s="33">
        <f>-Supuestos!B20*Supuestos!B24*0.043243</f>
        <v>-20237.723999999998</v>
      </c>
      <c r="X24" s="33">
        <f>-Supuestos!B20*Supuestos!B24*0.043243</f>
        <v>-20237.723999999998</v>
      </c>
      <c r="Y24" s="33">
        <f>-Supuestos!B20*Supuestos!B24*0.037838</f>
        <v>-17708.183999999997</v>
      </c>
      <c r="Z24" s="33">
        <f>-Supuestos!B20*Supuestos!B24*0.037838</f>
        <v>-17708.183999999997</v>
      </c>
      <c r="AA24" s="33">
        <f>-Supuestos!B20*Supuestos!B24*0.037838</f>
        <v>-17708.183999999997</v>
      </c>
      <c r="AB24" s="33">
        <f>-Supuestos!B20*Supuestos!B24*0.037838</f>
        <v>-17708.183999999997</v>
      </c>
      <c r="AC24" s="33">
        <f>-Supuestos!B20*Supuestos!B24*0.032432</f>
        <v>-15178.176000000001</v>
      </c>
      <c r="AD24" s="33">
        <f>-Supuestos!B20*Supuestos!B24*0.032432</f>
        <v>-15178.176000000001</v>
      </c>
      <c r="AE24" s="33">
        <f>-Supuestos!B20*Supuestos!B24*0.032432</f>
        <v>-15178.176000000001</v>
      </c>
      <c r="AF24" s="33">
        <f>-Supuestos!B20*Supuestos!B24*0.027027</f>
        <v>-12648.635999999999</v>
      </c>
      <c r="AG24" s="33">
        <f>-Supuestos!B20*Supuestos!B24*0.027027</f>
        <v>-12648.635999999999</v>
      </c>
      <c r="AH24" s="33">
        <f>-Supuestos!B20*Supuestos!B24*0.027027</f>
        <v>-12648.635999999999</v>
      </c>
      <c r="AI24" s="33">
        <f>-Supuestos!B20*Supuestos!B24*0.027027</f>
        <v>-12648.635999999999</v>
      </c>
      <c r="AJ24" s="33">
        <f>-Supuestos!B20*Supuestos!B24*0.021622</f>
        <v>-10119.096</v>
      </c>
      <c r="AK24" s="33">
        <f>-Supuestos!B20*Supuestos!B24*0.021622</f>
        <v>-10119.096</v>
      </c>
      <c r="AL24" s="33">
        <f>-Supuestos!B20*Supuestos!B24*0.016216</f>
        <v>-7589.0880000000006</v>
      </c>
      <c r="AM24" s="33">
        <f>-Supuestos!B20*Supuestos!B24*0.016216</f>
        <v>-7589.0880000000006</v>
      </c>
      <c r="AN24" s="33">
        <f>-Supuestos!B20*Supuestos!B24*0.010811</f>
        <v>-5059.5479999999998</v>
      </c>
      <c r="AO24" s="33">
        <v>0</v>
      </c>
      <c r="AP24" s="33">
        <v>0</v>
      </c>
      <c r="AQ24" s="33">
        <v>0</v>
      </c>
      <c r="AR24" s="33">
        <v>0</v>
      </c>
      <c r="AS24" s="33">
        <v>0</v>
      </c>
      <c r="AT24" s="33">
        <v>0</v>
      </c>
      <c r="AU24" s="43">
        <f t="shared" si="3"/>
        <v>-467999.99999999994</v>
      </c>
    </row>
    <row r="25" spans="1:48" ht="15.75" customHeight="1" x14ac:dyDescent="0.25">
      <c r="A25" s="44" t="s">
        <v>172</v>
      </c>
      <c r="B25" s="32" t="s">
        <v>153</v>
      </c>
      <c r="C25" s="45">
        <f t="shared" ref="C25:AT25" si="4">SUM(C20:C24)</f>
        <v>-8775</v>
      </c>
      <c r="D25" s="45">
        <f t="shared" si="4"/>
        <v>-8775</v>
      </c>
      <c r="E25" s="45">
        <f t="shared" si="4"/>
        <v>-8775</v>
      </c>
      <c r="F25" s="45">
        <f t="shared" si="4"/>
        <v>-8775</v>
      </c>
      <c r="G25" s="45">
        <f t="shared" si="4"/>
        <v>-57525</v>
      </c>
      <c r="H25" s="45">
        <f t="shared" si="4"/>
        <v>-8775</v>
      </c>
      <c r="I25" s="45">
        <f t="shared" si="4"/>
        <v>-8775</v>
      </c>
      <c r="J25" s="45">
        <f t="shared" si="4"/>
        <v>-8775</v>
      </c>
      <c r="K25" s="45">
        <f t="shared" si="4"/>
        <v>-57102.447999999997</v>
      </c>
      <c r="L25" s="45">
        <f t="shared" si="4"/>
        <v>-80711.487999999998</v>
      </c>
      <c r="M25" s="45">
        <f t="shared" si="4"/>
        <v>-104324.89599999999</v>
      </c>
      <c r="N25" s="45">
        <f t="shared" si="4"/>
        <v>-151542.976</v>
      </c>
      <c r="O25" s="45">
        <f t="shared" si="4"/>
        <v>-175156.38399999999</v>
      </c>
      <c r="P25" s="45">
        <f t="shared" si="4"/>
        <v>-198765.42399999997</v>
      </c>
      <c r="Q25" s="45">
        <f t="shared" si="4"/>
        <v>-222378.83199999999</v>
      </c>
      <c r="R25" s="45">
        <f t="shared" si="4"/>
        <v>-245987.872</v>
      </c>
      <c r="S25" s="45">
        <f t="shared" si="4"/>
        <v>-245987.872</v>
      </c>
      <c r="T25" s="45">
        <f t="shared" si="4"/>
        <v>-245987.872</v>
      </c>
      <c r="U25" s="45">
        <f t="shared" si="4"/>
        <v>-222378.83199999999</v>
      </c>
      <c r="V25" s="45">
        <f t="shared" si="4"/>
        <v>-222378.83199999999</v>
      </c>
      <c r="W25" s="45">
        <f t="shared" si="4"/>
        <v>-198765.42399999997</v>
      </c>
      <c r="X25" s="45">
        <f t="shared" si="4"/>
        <v>-198765.42399999997</v>
      </c>
      <c r="Y25" s="45">
        <f t="shared" si="4"/>
        <v>-175156.38399999999</v>
      </c>
      <c r="Z25" s="45">
        <f t="shared" si="4"/>
        <v>-175156.38399999999</v>
      </c>
      <c r="AA25" s="45">
        <f t="shared" si="4"/>
        <v>-175156.38399999999</v>
      </c>
      <c r="AB25" s="45">
        <f t="shared" si="4"/>
        <v>-175156.38399999999</v>
      </c>
      <c r="AC25" s="45">
        <f t="shared" si="4"/>
        <v>-151542.976</v>
      </c>
      <c r="AD25" s="45">
        <f t="shared" si="4"/>
        <v>-151542.976</v>
      </c>
      <c r="AE25" s="45">
        <f t="shared" si="4"/>
        <v>-151542.976</v>
      </c>
      <c r="AF25" s="45">
        <f t="shared" si="4"/>
        <v>-127933.936</v>
      </c>
      <c r="AG25" s="45">
        <f t="shared" si="4"/>
        <v>-127933.936</v>
      </c>
      <c r="AH25" s="45">
        <f t="shared" si="4"/>
        <v>-127933.936</v>
      </c>
      <c r="AI25" s="45">
        <f t="shared" si="4"/>
        <v>-127933.936</v>
      </c>
      <c r="AJ25" s="45">
        <f t="shared" si="4"/>
        <v>-104324.89599999999</v>
      </c>
      <c r="AK25" s="45">
        <f t="shared" si="4"/>
        <v>-104324.89599999999</v>
      </c>
      <c r="AL25" s="45">
        <f t="shared" si="4"/>
        <v>-80711.487999999998</v>
      </c>
      <c r="AM25" s="45">
        <f t="shared" si="4"/>
        <v>-80711.487999999998</v>
      </c>
      <c r="AN25" s="45">
        <f t="shared" si="4"/>
        <v>-57102.447999999997</v>
      </c>
      <c r="AO25" s="45">
        <f t="shared" si="4"/>
        <v>-72150</v>
      </c>
      <c r="AP25" s="45">
        <f t="shared" si="4"/>
        <v>0</v>
      </c>
      <c r="AQ25" s="45">
        <f t="shared" si="4"/>
        <v>0</v>
      </c>
      <c r="AR25" s="45">
        <f t="shared" si="4"/>
        <v>0</v>
      </c>
      <c r="AS25" s="45">
        <f t="shared" si="4"/>
        <v>0</v>
      </c>
      <c r="AT25" s="45">
        <f t="shared" si="4"/>
        <v>0</v>
      </c>
      <c r="AU25" s="43">
        <f t="shared" si="3"/>
        <v>-4855499.9999999991</v>
      </c>
    </row>
    <row r="26" spans="1:48" ht="18" customHeight="1" x14ac:dyDescent="0.25">
      <c r="A26" s="7" t="s">
        <v>173</v>
      </c>
      <c r="B26" s="7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</row>
    <row r="27" spans="1:48" ht="15" customHeight="1" x14ac:dyDescent="0.25">
      <c r="A27" s="31" t="s">
        <v>174</v>
      </c>
      <c r="B27" s="32" t="s">
        <v>153</v>
      </c>
      <c r="C27" s="33">
        <f>-Supuestos!B49*0.5/8</f>
        <v>-5000</v>
      </c>
      <c r="D27" s="33">
        <f>-Supuestos!B49*0.5/8</f>
        <v>-5000</v>
      </c>
      <c r="E27" s="33">
        <f>-Supuestos!B49*0.5/8</f>
        <v>-5000</v>
      </c>
      <c r="F27" s="33">
        <f>-Supuestos!B49*0.5/8</f>
        <v>-5000</v>
      </c>
      <c r="G27" s="33">
        <f>-Supuestos!B49*0.5/8</f>
        <v>-5000</v>
      </c>
      <c r="H27" s="33">
        <f>-Supuestos!B49*0.5/8</f>
        <v>-5000</v>
      </c>
      <c r="I27" s="33">
        <f>-Supuestos!B49*0.5/8</f>
        <v>-5000</v>
      </c>
      <c r="J27" s="33">
        <f>-Supuestos!B49*0.5/8</f>
        <v>-5000</v>
      </c>
      <c r="K27" s="33">
        <f>-Supuestos!B49*0.35/12</f>
        <v>-2333.3333333333335</v>
      </c>
      <c r="L27" s="33">
        <f>-Supuestos!B49*0.35/12</f>
        <v>-2333.3333333333335</v>
      </c>
      <c r="M27" s="33">
        <f>-Supuestos!B49*0.35/12</f>
        <v>-2333.3333333333335</v>
      </c>
      <c r="N27" s="33">
        <f>-Supuestos!B49*0.35/12</f>
        <v>-2333.3333333333335</v>
      </c>
      <c r="O27" s="33">
        <f>-Supuestos!B49*0.35/12</f>
        <v>-2333.3333333333335</v>
      </c>
      <c r="P27" s="33">
        <f>-Supuestos!B49*0.35/12</f>
        <v>-2333.3333333333335</v>
      </c>
      <c r="Q27" s="33">
        <f>-Supuestos!B49*0.35/12</f>
        <v>-2333.3333333333335</v>
      </c>
      <c r="R27" s="33">
        <f>-Supuestos!B49*0.35/12</f>
        <v>-2333.3333333333335</v>
      </c>
      <c r="S27" s="33">
        <f>-Supuestos!B49*0.35/12</f>
        <v>-2333.3333333333335</v>
      </c>
      <c r="T27" s="33">
        <f>-Supuestos!B49*0.35/12</f>
        <v>-2333.3333333333335</v>
      </c>
      <c r="U27" s="33">
        <f>-Supuestos!B49*0.35/12</f>
        <v>-2333.3333333333335</v>
      </c>
      <c r="V27" s="33">
        <f>-Supuestos!B49*0.35/12</f>
        <v>-2333.3333333333335</v>
      </c>
      <c r="W27" s="33">
        <f>-Supuestos!B49*0.15/18</f>
        <v>-666.66666666666663</v>
      </c>
      <c r="X27" s="33">
        <f>-Supuestos!B49*0.15/18</f>
        <v>-666.66666666666663</v>
      </c>
      <c r="Y27" s="33">
        <f>-Supuestos!B49*0.15/18</f>
        <v>-666.66666666666663</v>
      </c>
      <c r="Z27" s="33">
        <f>-Supuestos!B49*0.15/18</f>
        <v>-666.66666666666663</v>
      </c>
      <c r="AA27" s="33">
        <f>-Supuestos!B49*0.15/18</f>
        <v>-666.66666666666663</v>
      </c>
      <c r="AB27" s="33">
        <f>-Supuestos!B49*0.15/18</f>
        <v>-666.66666666666663</v>
      </c>
      <c r="AC27" s="33">
        <f>-Supuestos!B49*0.15/18</f>
        <v>-666.66666666666663</v>
      </c>
      <c r="AD27" s="33">
        <f>-Supuestos!B49*0.15/18</f>
        <v>-666.66666666666663</v>
      </c>
      <c r="AE27" s="33">
        <f>-Supuestos!B49*0.15/18</f>
        <v>-666.66666666666663</v>
      </c>
      <c r="AF27" s="33">
        <f>-Supuestos!B49*0.15/18</f>
        <v>-666.66666666666663</v>
      </c>
      <c r="AG27" s="33">
        <f>-Supuestos!B49*0.15/18</f>
        <v>-666.66666666666663</v>
      </c>
      <c r="AH27" s="33">
        <f>-Supuestos!B49*0.15/18</f>
        <v>-666.66666666666663</v>
      </c>
      <c r="AI27" s="33">
        <f>-Supuestos!B49*0.15/18</f>
        <v>-666.66666666666663</v>
      </c>
      <c r="AJ27" s="33">
        <f>-Supuestos!B49*0.15/18</f>
        <v>-666.66666666666663</v>
      </c>
      <c r="AK27" s="33">
        <f>-Supuestos!B49*0.15/18</f>
        <v>-666.66666666666663</v>
      </c>
      <c r="AL27" s="33">
        <f>-Supuestos!B49*0.15/18</f>
        <v>-666.66666666666663</v>
      </c>
      <c r="AM27" s="33">
        <f>-Supuestos!B49*0.15/18</f>
        <v>-666.66666666666663</v>
      </c>
      <c r="AN27" s="33">
        <f>-Supuestos!B49*0.15/18</f>
        <v>-666.66666666666663</v>
      </c>
      <c r="AO27" s="33">
        <v>0</v>
      </c>
      <c r="AP27" s="33">
        <v>0</v>
      </c>
      <c r="AQ27" s="33">
        <v>0</v>
      </c>
      <c r="AR27" s="33">
        <v>0</v>
      </c>
      <c r="AS27" s="33">
        <v>0</v>
      </c>
      <c r="AT27" s="33">
        <v>0</v>
      </c>
      <c r="AU27" s="47">
        <f t="shared" ref="AU27:AU32" si="5">SUM(C27:AT27)</f>
        <v>-80000.000000000102</v>
      </c>
    </row>
    <row r="28" spans="1:48" ht="15" customHeight="1" x14ac:dyDescent="0.25">
      <c r="A28" s="31" t="s">
        <v>175</v>
      </c>
      <c r="B28" s="32" t="s">
        <v>153</v>
      </c>
      <c r="C28" s="33">
        <f>-Supuestos!B50*0.7</f>
        <v>-24500</v>
      </c>
      <c r="D28" s="33">
        <f>-Supuestos!B50*0.2</f>
        <v>-7000</v>
      </c>
      <c r="E28" s="33">
        <f>-Supuestos!B50*0.1</f>
        <v>-3500</v>
      </c>
      <c r="F28" s="33">
        <v>0</v>
      </c>
      <c r="G28" s="33">
        <v>0</v>
      </c>
      <c r="H28" s="33">
        <v>0</v>
      </c>
      <c r="I28" s="33">
        <v>0</v>
      </c>
      <c r="J28" s="33">
        <v>0</v>
      </c>
      <c r="K28" s="33">
        <v>0</v>
      </c>
      <c r="L28" s="33">
        <v>0</v>
      </c>
      <c r="M28" s="33">
        <v>0</v>
      </c>
      <c r="N28" s="33">
        <v>0</v>
      </c>
      <c r="O28" s="33">
        <v>0</v>
      </c>
      <c r="P28" s="33">
        <v>0</v>
      </c>
      <c r="Q28" s="33">
        <v>0</v>
      </c>
      <c r="R28" s="33">
        <v>0</v>
      </c>
      <c r="S28" s="33">
        <v>0</v>
      </c>
      <c r="T28" s="33">
        <v>0</v>
      </c>
      <c r="U28" s="33">
        <v>0</v>
      </c>
      <c r="V28" s="33">
        <v>0</v>
      </c>
      <c r="W28" s="33">
        <v>0</v>
      </c>
      <c r="X28" s="33">
        <v>0</v>
      </c>
      <c r="Y28" s="33">
        <v>0</v>
      </c>
      <c r="Z28" s="33">
        <v>0</v>
      </c>
      <c r="AA28" s="33">
        <v>0</v>
      </c>
      <c r="AB28" s="33">
        <v>0</v>
      </c>
      <c r="AC28" s="33">
        <v>0</v>
      </c>
      <c r="AD28" s="33">
        <v>0</v>
      </c>
      <c r="AE28" s="33">
        <v>0</v>
      </c>
      <c r="AF28" s="33">
        <v>0</v>
      </c>
      <c r="AG28" s="33">
        <v>0</v>
      </c>
      <c r="AH28" s="33">
        <v>0</v>
      </c>
      <c r="AI28" s="33">
        <v>0</v>
      </c>
      <c r="AJ28" s="33">
        <v>0</v>
      </c>
      <c r="AK28" s="33">
        <v>0</v>
      </c>
      <c r="AL28" s="33">
        <v>0</v>
      </c>
      <c r="AM28" s="33">
        <v>0</v>
      </c>
      <c r="AN28" s="33">
        <v>0</v>
      </c>
      <c r="AO28" s="33">
        <v>0</v>
      </c>
      <c r="AP28" s="33">
        <v>0</v>
      </c>
      <c r="AQ28" s="33">
        <v>0</v>
      </c>
      <c r="AR28" s="33">
        <v>0</v>
      </c>
      <c r="AS28" s="33">
        <v>0</v>
      </c>
      <c r="AT28" s="33">
        <v>0</v>
      </c>
      <c r="AU28" s="47">
        <f t="shared" si="5"/>
        <v>-35000</v>
      </c>
    </row>
    <row r="29" spans="1:48" ht="15" customHeight="1" x14ac:dyDescent="0.25">
      <c r="A29" s="31" t="s">
        <v>176</v>
      </c>
      <c r="B29" s="32" t="s">
        <v>153</v>
      </c>
      <c r="C29" s="33">
        <v>0</v>
      </c>
      <c r="D29" s="33">
        <f>-Supuestos!B51*0.5</f>
        <v>-7500</v>
      </c>
      <c r="E29" s="33">
        <v>0</v>
      </c>
      <c r="F29" s="33">
        <v>0</v>
      </c>
      <c r="G29" s="33">
        <v>0</v>
      </c>
      <c r="H29" s="33">
        <v>0</v>
      </c>
      <c r="I29" s="33">
        <v>0</v>
      </c>
      <c r="J29" s="33">
        <v>0</v>
      </c>
      <c r="K29" s="33">
        <f>-Supuestos!B51*0.25</f>
        <v>-3750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3">
        <v>0</v>
      </c>
      <c r="AF29" s="33">
        <v>0</v>
      </c>
      <c r="AG29" s="33">
        <v>0</v>
      </c>
      <c r="AH29" s="33">
        <v>0</v>
      </c>
      <c r="AI29" s="33">
        <v>0</v>
      </c>
      <c r="AJ29" s="33">
        <v>0</v>
      </c>
      <c r="AK29" s="33">
        <v>0</v>
      </c>
      <c r="AL29" s="33">
        <v>0</v>
      </c>
      <c r="AM29" s="33">
        <v>0</v>
      </c>
      <c r="AN29" s="33">
        <f>-Supuestos!B51*0.25</f>
        <v>-3750</v>
      </c>
      <c r="AO29" s="33">
        <v>0</v>
      </c>
      <c r="AP29" s="33">
        <v>0</v>
      </c>
      <c r="AQ29" s="33">
        <v>0</v>
      </c>
      <c r="AR29" s="33">
        <v>0</v>
      </c>
      <c r="AS29" s="33">
        <v>0</v>
      </c>
      <c r="AT29" s="33">
        <v>0</v>
      </c>
      <c r="AU29" s="47">
        <f t="shared" si="5"/>
        <v>-15000</v>
      </c>
    </row>
    <row r="30" spans="1:48" ht="15" customHeight="1" x14ac:dyDescent="0.25">
      <c r="A30" s="31" t="s">
        <v>177</v>
      </c>
      <c r="B30" s="32" t="s">
        <v>153</v>
      </c>
      <c r="C30" s="33">
        <f>-(Supuestos!B37/8)*Supuestos!B10*Supuestos!B34*Supuestos!B46*Supuestos!B48</f>
        <v>-4446</v>
      </c>
      <c r="D30" s="33">
        <f>-(Supuestos!B37/8)*Supuestos!B10*Supuestos!B34*Supuestos!B46*Supuestos!B48</f>
        <v>-4446</v>
      </c>
      <c r="E30" s="33">
        <f>-(Supuestos!B37/8)*Supuestos!B10*Supuestos!B34*Supuestos!B46*Supuestos!B48</f>
        <v>-4446</v>
      </c>
      <c r="F30" s="33">
        <f>-(Supuestos!B37/8)*Supuestos!B10*Supuestos!B34*Supuestos!B46*Supuestos!B48</f>
        <v>-4446</v>
      </c>
      <c r="G30" s="33">
        <f>-(Supuestos!B37/8)*Supuestos!B10*Supuestos!B34*Supuestos!B46*Supuestos!B48</f>
        <v>-4446</v>
      </c>
      <c r="H30" s="33">
        <f>-(Supuestos!B37/8)*Supuestos!B10*Supuestos!B34*Supuestos!B46*Supuestos!B48</f>
        <v>-4446</v>
      </c>
      <c r="I30" s="33">
        <f>-(Supuestos!B37/8)*Supuestos!B10*Supuestos!B34*Supuestos!B46*Supuestos!B48</f>
        <v>-4446</v>
      </c>
      <c r="J30" s="33">
        <f>-(Supuestos!B37/8)*Supuestos!B10*Supuestos!B34*Supuestos!B46*Supuestos!B48</f>
        <v>-4446</v>
      </c>
      <c r="K30" s="33">
        <f>-(Supuestos!B38/30)*Supuestos!B10*Supuestos!B35*Supuestos!B46*Supuestos!B48</f>
        <v>-2870.4</v>
      </c>
      <c r="L30" s="33">
        <f>-(Supuestos!B38/30)*Supuestos!B10*Supuestos!B35*Supuestos!B46*Supuestos!B48</f>
        <v>-2870.4</v>
      </c>
      <c r="M30" s="33">
        <f>-(Supuestos!B38/30)*Supuestos!B10*Supuestos!B35*Supuestos!B46*Supuestos!B48</f>
        <v>-2870.4</v>
      </c>
      <c r="N30" s="33">
        <f>-(Supuestos!B38/30)*Supuestos!B10*Supuestos!B35*Supuestos!B46*Supuestos!B48</f>
        <v>-2870.4</v>
      </c>
      <c r="O30" s="33">
        <f>-(Supuestos!B38/30)*Supuestos!B10*Supuestos!B35*Supuestos!B46*Supuestos!B48</f>
        <v>-2870.4</v>
      </c>
      <c r="P30" s="33">
        <f>-(Supuestos!B38/30)*Supuestos!B10*Supuestos!B35*Supuestos!B46*Supuestos!B48</f>
        <v>-2870.4</v>
      </c>
      <c r="Q30" s="33">
        <f>-(Supuestos!B38/30)*Supuestos!B10*Supuestos!B35*Supuestos!B46*Supuestos!B48</f>
        <v>-2870.4</v>
      </c>
      <c r="R30" s="33">
        <f>-(Supuestos!B38/30)*Supuestos!B10*Supuestos!B35*Supuestos!B46*Supuestos!B48</f>
        <v>-2870.4</v>
      </c>
      <c r="S30" s="33">
        <f>-(Supuestos!B38/30)*Supuestos!B10*Supuestos!B35*Supuestos!B46*Supuestos!B48</f>
        <v>-2870.4</v>
      </c>
      <c r="T30" s="33">
        <f>-(Supuestos!B38/30)*Supuestos!B10*Supuestos!B35*Supuestos!B46*Supuestos!B48</f>
        <v>-2870.4</v>
      </c>
      <c r="U30" s="33">
        <f>-(Supuestos!B38/30)*Supuestos!B10*Supuestos!B35*Supuestos!B46*Supuestos!B48</f>
        <v>-2870.4</v>
      </c>
      <c r="V30" s="33">
        <f>-(Supuestos!B38/30)*Supuestos!B10*Supuestos!B35*Supuestos!B46*Supuestos!B48</f>
        <v>-2870.4</v>
      </c>
      <c r="W30" s="33">
        <f>-(Supuestos!B38/30)*Supuestos!B10*Supuestos!B35*Supuestos!B46*Supuestos!B48</f>
        <v>-2870.4</v>
      </c>
      <c r="X30" s="33">
        <f>-(Supuestos!B38/30)*Supuestos!B10*Supuestos!B35*Supuestos!B46*Supuestos!B48</f>
        <v>-2870.4</v>
      </c>
      <c r="Y30" s="33">
        <f>-(Supuestos!B38/30)*Supuestos!B10*Supuestos!B35*Supuestos!B46*Supuestos!B48</f>
        <v>-2870.4</v>
      </c>
      <c r="Z30" s="33">
        <f>-(Supuestos!B38/30)*Supuestos!B10*Supuestos!B35*Supuestos!B46*Supuestos!B48</f>
        <v>-2870.4</v>
      </c>
      <c r="AA30" s="33">
        <f>-(Supuestos!B38/30)*Supuestos!B10*Supuestos!B35*Supuestos!B46*Supuestos!B48</f>
        <v>-2870.4</v>
      </c>
      <c r="AB30" s="33">
        <f>-(Supuestos!B38/30)*Supuestos!B10*Supuestos!B35*Supuestos!B46*Supuestos!B48</f>
        <v>-2870.4</v>
      </c>
      <c r="AC30" s="33">
        <f>-(Supuestos!B38/30)*Supuestos!B10*Supuestos!B35*Supuestos!B46*Supuestos!B48</f>
        <v>-2870.4</v>
      </c>
      <c r="AD30" s="33">
        <f>-(Supuestos!B38/30)*Supuestos!B10*Supuestos!B35*Supuestos!B46*Supuestos!B48</f>
        <v>-2870.4</v>
      </c>
      <c r="AE30" s="33">
        <f>-(Supuestos!B38/30)*Supuestos!B10*Supuestos!B35*Supuestos!B46*Supuestos!B48</f>
        <v>-2870.4</v>
      </c>
      <c r="AF30" s="33">
        <f>-(Supuestos!B38/30)*Supuestos!B10*Supuestos!B35*Supuestos!B46*Supuestos!B48</f>
        <v>-2870.4</v>
      </c>
      <c r="AG30" s="33">
        <f>-(Supuestos!B38/30)*Supuestos!B10*Supuestos!B35*Supuestos!B46*Supuestos!B48</f>
        <v>-2870.4</v>
      </c>
      <c r="AH30" s="33">
        <f>-(Supuestos!B38/30)*Supuestos!B10*Supuestos!B35*Supuestos!B46*Supuestos!B48</f>
        <v>-2870.4</v>
      </c>
      <c r="AI30" s="33">
        <f>-(Supuestos!B38/30)*Supuestos!B10*Supuestos!B35*Supuestos!B46*Supuestos!B48</f>
        <v>-2870.4</v>
      </c>
      <c r="AJ30" s="33">
        <f>-(Supuestos!B38/30)*Supuestos!B10*Supuestos!B35*Supuestos!B46*Supuestos!B48</f>
        <v>-2870.4</v>
      </c>
      <c r="AK30" s="33">
        <f>-(Supuestos!B38/30)*Supuestos!B10*Supuestos!B35*Supuestos!B46*Supuestos!B48</f>
        <v>-2870.4</v>
      </c>
      <c r="AL30" s="33">
        <f>-(Supuestos!B38/30)*Supuestos!B10*Supuestos!B35*Supuestos!B46*Supuestos!B48</f>
        <v>-2870.4</v>
      </c>
      <c r="AM30" s="33">
        <f>-(Supuestos!B38/30)*Supuestos!B10*Supuestos!B35*Supuestos!B46*Supuestos!B48</f>
        <v>-2870.4</v>
      </c>
      <c r="AN30" s="33">
        <f>-(Supuestos!B38/30)*Supuestos!B10*Supuestos!B35*Supuestos!B46*Supuestos!B48</f>
        <v>-2870.4</v>
      </c>
      <c r="AO30" s="33">
        <f>-(Supuestos!B39/3)*Supuestos!B10*Supuestos!B36*Supuestos!B46*Supuestos!B48</f>
        <v>-5408</v>
      </c>
      <c r="AP30" s="33">
        <f>-(Supuestos!B39/3)*Supuestos!B10*Supuestos!B36*Supuestos!B46*Supuestos!B48</f>
        <v>-5408</v>
      </c>
      <c r="AQ30" s="33">
        <f>-(Supuestos!B39/3)*Supuestos!B10*Supuestos!B36*Supuestos!B46*Supuestos!B48</f>
        <v>-5408</v>
      </c>
      <c r="AR30" s="33">
        <v>0</v>
      </c>
      <c r="AS30" s="33">
        <v>0</v>
      </c>
      <c r="AT30" s="33">
        <v>0</v>
      </c>
      <c r="AU30" s="47">
        <f t="shared" si="5"/>
        <v>-137903.99999999988</v>
      </c>
    </row>
    <row r="31" spans="1:48" ht="15" customHeight="1" x14ac:dyDescent="0.25">
      <c r="A31" s="31" t="s">
        <v>178</v>
      </c>
      <c r="B31" s="32" t="s">
        <v>153</v>
      </c>
      <c r="C31" s="33">
        <f>-(Supuestos!B37/8)*Supuestos!B10*Supuestos!B34*Supuestos!B47*(1-Supuestos!B48)</f>
        <v>-11115</v>
      </c>
      <c r="D31" s="33">
        <f>-(Supuestos!B37/8)*Supuestos!B10*Supuestos!B34*Supuestos!B47*(1-Supuestos!B48)</f>
        <v>-11115</v>
      </c>
      <c r="E31" s="33">
        <f>-(Supuestos!B37/8)*Supuestos!B10*Supuestos!B34*Supuestos!B47*(1-Supuestos!B48)</f>
        <v>-11115</v>
      </c>
      <c r="F31" s="33">
        <f>-(Supuestos!B37/8)*Supuestos!B10*Supuestos!B34*Supuestos!B47*(1-Supuestos!B48)</f>
        <v>-11115</v>
      </c>
      <c r="G31" s="33">
        <f>-(Supuestos!B37/8)*Supuestos!B10*Supuestos!B34*Supuestos!B47*(1-Supuestos!B48)</f>
        <v>-11115</v>
      </c>
      <c r="H31" s="33">
        <f>-(Supuestos!B37/8)*Supuestos!B10*Supuestos!B34*Supuestos!B47*(1-Supuestos!B48)</f>
        <v>-11115</v>
      </c>
      <c r="I31" s="33">
        <f>-(Supuestos!B37/8)*Supuestos!B10*Supuestos!B34*Supuestos!B47*(1-Supuestos!B48)</f>
        <v>-11115</v>
      </c>
      <c r="J31" s="33">
        <f>-(Supuestos!B37/8)*Supuestos!B10*Supuestos!B34*Supuestos!B47*(1-Supuestos!B48)</f>
        <v>-11115</v>
      </c>
      <c r="K31" s="33">
        <f>-(Supuestos!B38/30)*Supuestos!B10*Supuestos!B35*Supuestos!B47*(1-Supuestos!B48)</f>
        <v>-7176</v>
      </c>
      <c r="L31" s="33">
        <f>-(Supuestos!B38/30)*Supuestos!B10*Supuestos!B35*Supuestos!B47*(1-Supuestos!B48)</f>
        <v>-7176</v>
      </c>
      <c r="M31" s="33">
        <f>-(Supuestos!B38/30)*Supuestos!B10*Supuestos!B35*Supuestos!B47*(1-Supuestos!B48)</f>
        <v>-7176</v>
      </c>
      <c r="N31" s="33">
        <f>-(Supuestos!B38/30)*Supuestos!B10*Supuestos!B35*Supuestos!B47*(1-Supuestos!B48)</f>
        <v>-7176</v>
      </c>
      <c r="O31" s="33">
        <f>-(Supuestos!B38/30)*Supuestos!B10*Supuestos!B35*Supuestos!B47*(1-Supuestos!B48)</f>
        <v>-7176</v>
      </c>
      <c r="P31" s="33">
        <f>-(Supuestos!B38/30)*Supuestos!B10*Supuestos!B35*Supuestos!B47*(1-Supuestos!B48)</f>
        <v>-7176</v>
      </c>
      <c r="Q31" s="33">
        <f>-(Supuestos!B38/30)*Supuestos!B10*Supuestos!B35*Supuestos!B47*(1-Supuestos!B48)</f>
        <v>-7176</v>
      </c>
      <c r="R31" s="33">
        <f>-(Supuestos!B38/30)*Supuestos!B10*Supuestos!B35*Supuestos!B47*(1-Supuestos!B48)</f>
        <v>-7176</v>
      </c>
      <c r="S31" s="33">
        <f>-(Supuestos!B38/30)*Supuestos!B10*Supuestos!B35*Supuestos!B47*(1-Supuestos!B48)</f>
        <v>-7176</v>
      </c>
      <c r="T31" s="33">
        <f>-(Supuestos!B38/30)*Supuestos!B10*Supuestos!B35*Supuestos!B47*(1-Supuestos!B48)</f>
        <v>-7176</v>
      </c>
      <c r="U31" s="33">
        <f>-(Supuestos!B38/30)*Supuestos!B10*Supuestos!B35*Supuestos!B47*(1-Supuestos!B48)</f>
        <v>-7176</v>
      </c>
      <c r="V31" s="33">
        <f>-(Supuestos!B38/30)*Supuestos!B10*Supuestos!B35*Supuestos!B47*(1-Supuestos!B48)</f>
        <v>-7176</v>
      </c>
      <c r="W31" s="33">
        <f>-(Supuestos!B38/30)*Supuestos!B10*Supuestos!B35*Supuestos!B47*(1-Supuestos!B48)</f>
        <v>-7176</v>
      </c>
      <c r="X31" s="33">
        <f>-(Supuestos!B38/30)*Supuestos!B10*Supuestos!B35*Supuestos!B47*(1-Supuestos!B48)</f>
        <v>-7176</v>
      </c>
      <c r="Y31" s="33">
        <f>-(Supuestos!B38/30)*Supuestos!B10*Supuestos!B35*Supuestos!B47*(1-Supuestos!B48)</f>
        <v>-7176</v>
      </c>
      <c r="Z31" s="33">
        <f>-(Supuestos!B38/30)*Supuestos!B10*Supuestos!B35*Supuestos!B47*(1-Supuestos!B48)</f>
        <v>-7176</v>
      </c>
      <c r="AA31" s="33">
        <f>-(Supuestos!B38/30)*Supuestos!B10*Supuestos!B35*Supuestos!B47*(1-Supuestos!B48)</f>
        <v>-7176</v>
      </c>
      <c r="AB31" s="33">
        <f>-(Supuestos!B38/30)*Supuestos!B10*Supuestos!B35*Supuestos!B47*(1-Supuestos!B48)</f>
        <v>-7176</v>
      </c>
      <c r="AC31" s="33">
        <f>-(Supuestos!B38/30)*Supuestos!B10*Supuestos!B35*Supuestos!B47*(1-Supuestos!B48)</f>
        <v>-7176</v>
      </c>
      <c r="AD31" s="33">
        <f>-(Supuestos!B38/30)*Supuestos!B10*Supuestos!B35*Supuestos!B47*(1-Supuestos!B48)</f>
        <v>-7176</v>
      </c>
      <c r="AE31" s="33">
        <f>-(Supuestos!B38/30)*Supuestos!B10*Supuestos!B35*Supuestos!B47*(1-Supuestos!B48)</f>
        <v>-7176</v>
      </c>
      <c r="AF31" s="33">
        <f>-(Supuestos!B38/30)*Supuestos!B10*Supuestos!B35*Supuestos!B47*(1-Supuestos!B48)</f>
        <v>-7176</v>
      </c>
      <c r="AG31" s="33">
        <f>-(Supuestos!B38/30)*Supuestos!B10*Supuestos!B35*Supuestos!B47*(1-Supuestos!B48)</f>
        <v>-7176</v>
      </c>
      <c r="AH31" s="33">
        <f>-(Supuestos!B38/30)*Supuestos!B10*Supuestos!B35*Supuestos!B47*(1-Supuestos!B48)</f>
        <v>-7176</v>
      </c>
      <c r="AI31" s="33">
        <f>-(Supuestos!B38/30)*Supuestos!B10*Supuestos!B35*Supuestos!B47*(1-Supuestos!B48)</f>
        <v>-7176</v>
      </c>
      <c r="AJ31" s="33">
        <f>-(Supuestos!B38/30)*Supuestos!B10*Supuestos!B35*Supuestos!B47*(1-Supuestos!B48)</f>
        <v>-7176</v>
      </c>
      <c r="AK31" s="33">
        <f>-(Supuestos!B38/30)*Supuestos!B10*Supuestos!B35*Supuestos!B47*(1-Supuestos!B48)</f>
        <v>-7176</v>
      </c>
      <c r="AL31" s="33">
        <f>-(Supuestos!B38/30)*Supuestos!B10*Supuestos!B35*Supuestos!B47*(1-Supuestos!B48)</f>
        <v>-7176</v>
      </c>
      <c r="AM31" s="33">
        <f>-(Supuestos!B38/30)*Supuestos!B10*Supuestos!B35*Supuestos!B47*(1-Supuestos!B48)</f>
        <v>-7176</v>
      </c>
      <c r="AN31" s="33">
        <f>-(Supuestos!B38/30)*Supuestos!B10*Supuestos!B35*Supuestos!B47*(1-Supuestos!B48)</f>
        <v>-7176</v>
      </c>
      <c r="AO31" s="33">
        <f>-(Supuestos!B39/3)*Supuestos!B10*Supuestos!B36*Supuestos!B47*(1-Supuestos!B48)</f>
        <v>-13519.999999999998</v>
      </c>
      <c r="AP31" s="33">
        <f>-(Supuestos!B39/3)*Supuestos!B10*Supuestos!B36*Supuestos!B47*(1-Supuestos!B48)</f>
        <v>-13519.999999999998</v>
      </c>
      <c r="AQ31" s="33">
        <f>-(Supuestos!B39/3)*Supuestos!B10*Supuestos!B36*Supuestos!B47*(1-Supuestos!B48)</f>
        <v>-13519.999999999998</v>
      </c>
      <c r="AR31" s="33">
        <v>0</v>
      </c>
      <c r="AS31" s="33">
        <v>0</v>
      </c>
      <c r="AT31" s="33">
        <v>0</v>
      </c>
      <c r="AU31" s="47">
        <f t="shared" si="5"/>
        <v>-344760</v>
      </c>
    </row>
    <row r="32" spans="1:48" ht="15.75" customHeight="1" x14ac:dyDescent="0.25">
      <c r="A32" s="48" t="s">
        <v>179</v>
      </c>
      <c r="B32" s="32" t="s">
        <v>153</v>
      </c>
      <c r="C32" s="49">
        <f t="shared" ref="C32:AT32" si="6">SUM(C27:C31)</f>
        <v>-45061</v>
      </c>
      <c r="D32" s="49">
        <f t="shared" si="6"/>
        <v>-35061</v>
      </c>
      <c r="E32" s="49">
        <f t="shared" si="6"/>
        <v>-24061</v>
      </c>
      <c r="F32" s="49">
        <f t="shared" si="6"/>
        <v>-20561</v>
      </c>
      <c r="G32" s="49">
        <f t="shared" si="6"/>
        <v>-20561</v>
      </c>
      <c r="H32" s="49">
        <f t="shared" si="6"/>
        <v>-20561</v>
      </c>
      <c r="I32" s="49">
        <f t="shared" si="6"/>
        <v>-20561</v>
      </c>
      <c r="J32" s="49">
        <f t="shared" si="6"/>
        <v>-20561</v>
      </c>
      <c r="K32" s="49">
        <f t="shared" si="6"/>
        <v>-16129.733333333334</v>
      </c>
      <c r="L32" s="49">
        <f t="shared" si="6"/>
        <v>-12379.733333333334</v>
      </c>
      <c r="M32" s="49">
        <f t="shared" si="6"/>
        <v>-12379.733333333334</v>
      </c>
      <c r="N32" s="49">
        <f t="shared" si="6"/>
        <v>-12379.733333333334</v>
      </c>
      <c r="O32" s="49">
        <f t="shared" si="6"/>
        <v>-12379.733333333334</v>
      </c>
      <c r="P32" s="49">
        <f t="shared" si="6"/>
        <v>-12379.733333333334</v>
      </c>
      <c r="Q32" s="49">
        <f t="shared" si="6"/>
        <v>-12379.733333333334</v>
      </c>
      <c r="R32" s="49">
        <f t="shared" si="6"/>
        <v>-12379.733333333334</v>
      </c>
      <c r="S32" s="49">
        <f t="shared" si="6"/>
        <v>-12379.733333333334</v>
      </c>
      <c r="T32" s="49">
        <f t="shared" si="6"/>
        <v>-12379.733333333334</v>
      </c>
      <c r="U32" s="49">
        <f t="shared" si="6"/>
        <v>-12379.733333333334</v>
      </c>
      <c r="V32" s="49">
        <f t="shared" si="6"/>
        <v>-12379.733333333334</v>
      </c>
      <c r="W32" s="49">
        <f t="shared" si="6"/>
        <v>-10713.066666666666</v>
      </c>
      <c r="X32" s="49">
        <f t="shared" si="6"/>
        <v>-10713.066666666666</v>
      </c>
      <c r="Y32" s="49">
        <f t="shared" si="6"/>
        <v>-10713.066666666666</v>
      </c>
      <c r="Z32" s="49">
        <f t="shared" si="6"/>
        <v>-10713.066666666666</v>
      </c>
      <c r="AA32" s="49">
        <f t="shared" si="6"/>
        <v>-10713.066666666666</v>
      </c>
      <c r="AB32" s="49">
        <f t="shared" si="6"/>
        <v>-10713.066666666666</v>
      </c>
      <c r="AC32" s="49">
        <f t="shared" si="6"/>
        <v>-10713.066666666666</v>
      </c>
      <c r="AD32" s="49">
        <f t="shared" si="6"/>
        <v>-10713.066666666666</v>
      </c>
      <c r="AE32" s="49">
        <f t="shared" si="6"/>
        <v>-10713.066666666666</v>
      </c>
      <c r="AF32" s="49">
        <f t="shared" si="6"/>
        <v>-10713.066666666666</v>
      </c>
      <c r="AG32" s="49">
        <f t="shared" si="6"/>
        <v>-10713.066666666666</v>
      </c>
      <c r="AH32" s="49">
        <f t="shared" si="6"/>
        <v>-10713.066666666666</v>
      </c>
      <c r="AI32" s="49">
        <f t="shared" si="6"/>
        <v>-10713.066666666666</v>
      </c>
      <c r="AJ32" s="49">
        <f t="shared" si="6"/>
        <v>-10713.066666666666</v>
      </c>
      <c r="AK32" s="49">
        <f t="shared" si="6"/>
        <v>-10713.066666666666</v>
      </c>
      <c r="AL32" s="49">
        <f t="shared" si="6"/>
        <v>-10713.066666666666</v>
      </c>
      <c r="AM32" s="49">
        <f t="shared" si="6"/>
        <v>-10713.066666666666</v>
      </c>
      <c r="AN32" s="49">
        <f t="shared" si="6"/>
        <v>-14463.066666666668</v>
      </c>
      <c r="AO32" s="49">
        <f t="shared" si="6"/>
        <v>-18928</v>
      </c>
      <c r="AP32" s="49">
        <f t="shared" si="6"/>
        <v>-18928</v>
      </c>
      <c r="AQ32" s="49">
        <f t="shared" si="6"/>
        <v>-18928</v>
      </c>
      <c r="AR32" s="49">
        <f t="shared" si="6"/>
        <v>0</v>
      </c>
      <c r="AS32" s="49">
        <f t="shared" si="6"/>
        <v>0</v>
      </c>
      <c r="AT32" s="49">
        <f t="shared" si="6"/>
        <v>0</v>
      </c>
      <c r="AU32" s="47">
        <f t="shared" si="5"/>
        <v>-612663.99999999977</v>
      </c>
    </row>
    <row r="33" spans="1:48" ht="18" customHeight="1" x14ac:dyDescent="0.25">
      <c r="A33" s="6" t="s">
        <v>180</v>
      </c>
      <c r="B33" s="6"/>
      <c r="C33" s="50"/>
      <c r="D33" s="50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</row>
    <row r="34" spans="1:48" ht="15" customHeight="1" x14ac:dyDescent="0.25">
      <c r="A34" s="31" t="s">
        <v>181</v>
      </c>
      <c r="B34" s="32" t="s">
        <v>153</v>
      </c>
      <c r="C34" s="33">
        <f>-(Supuestos!B14+Supuestos!B20)*Supuestos!B55/12</f>
        <v>-1833.3333333333333</v>
      </c>
      <c r="D34" s="33">
        <f>-(Supuestos!B14+Supuestos!B20)*Supuestos!B55/12</f>
        <v>-1833.3333333333333</v>
      </c>
      <c r="E34" s="33">
        <f>-(Supuestos!B14+Supuestos!B20)*Supuestos!B55/12</f>
        <v>-1833.3333333333333</v>
      </c>
      <c r="F34" s="33">
        <f>-(Supuestos!B14+Supuestos!B20)*Supuestos!B55/12</f>
        <v>-1833.3333333333333</v>
      </c>
      <c r="G34" s="33">
        <f>-(Supuestos!B14+Supuestos!B20)*Supuestos!B55/12</f>
        <v>-1833.3333333333333</v>
      </c>
      <c r="H34" s="33">
        <f>-(Supuestos!B14+Supuestos!B20)*Supuestos!B55/12</f>
        <v>-1833.3333333333333</v>
      </c>
      <c r="I34" s="33">
        <f>-(Supuestos!B14+Supuestos!B20)*Supuestos!B55/12</f>
        <v>-1833.3333333333333</v>
      </c>
      <c r="J34" s="33">
        <f>-(Supuestos!B14+Supuestos!B20)*Supuestos!B55/12</f>
        <v>-1833.3333333333333</v>
      </c>
      <c r="K34" s="33">
        <f>-(Supuestos!B14+Supuestos!B20)*Supuestos!B55/12</f>
        <v>-1833.3333333333333</v>
      </c>
      <c r="L34" s="33">
        <f>-(Supuestos!B14+Supuestos!B20)*Supuestos!B55/12</f>
        <v>-1833.3333333333333</v>
      </c>
      <c r="M34" s="33">
        <f>-(Supuestos!B14+Supuestos!B20)*Supuestos!B55/12</f>
        <v>-1833.3333333333333</v>
      </c>
      <c r="N34" s="33">
        <f>-(Supuestos!B14+Supuestos!B20)*Supuestos!B55/12</f>
        <v>-1833.3333333333333</v>
      </c>
      <c r="O34" s="33">
        <f>-(Supuestos!B14+Supuestos!B20)*Supuestos!B55/12</f>
        <v>-1833.3333333333333</v>
      </c>
      <c r="P34" s="33">
        <f>-(Supuestos!B14+Supuestos!B20)*Supuestos!B55/12</f>
        <v>-1833.3333333333333</v>
      </c>
      <c r="Q34" s="33">
        <f>-(Supuestos!B14+Supuestos!B20)*Supuestos!B55/12</f>
        <v>-1833.3333333333333</v>
      </c>
      <c r="R34" s="33">
        <f>-(Supuestos!B14+Supuestos!B20)*Supuestos!B55/12</f>
        <v>-1833.3333333333333</v>
      </c>
      <c r="S34" s="33">
        <f>-(Supuestos!B14+Supuestos!B20)*Supuestos!B55/12</f>
        <v>-1833.3333333333333</v>
      </c>
      <c r="T34" s="33">
        <f>-(Supuestos!B14+Supuestos!B20)*Supuestos!B55/12</f>
        <v>-1833.3333333333333</v>
      </c>
      <c r="U34" s="33">
        <f>-(Supuestos!B14+Supuestos!B20)*Supuestos!B55/12</f>
        <v>-1833.3333333333333</v>
      </c>
      <c r="V34" s="33">
        <f>-(Supuestos!B14+Supuestos!B20)*Supuestos!B55/12</f>
        <v>-1833.3333333333333</v>
      </c>
      <c r="W34" s="33">
        <f>-(Supuestos!B14+Supuestos!B20)*Supuestos!B55/12</f>
        <v>-1833.3333333333333</v>
      </c>
      <c r="X34" s="33">
        <f>-(Supuestos!B14+Supuestos!B20)*Supuestos!B55/12</f>
        <v>-1833.3333333333333</v>
      </c>
      <c r="Y34" s="33">
        <f>-(Supuestos!B14+Supuestos!B20)*Supuestos!B55/12</f>
        <v>-1833.3333333333333</v>
      </c>
      <c r="Z34" s="33">
        <f>-(Supuestos!B14+Supuestos!B20)*Supuestos!B55/12</f>
        <v>-1833.3333333333333</v>
      </c>
      <c r="AA34" s="33">
        <f>-(Supuestos!B14+Supuestos!B20)*Supuestos!B55/12</f>
        <v>-1833.3333333333333</v>
      </c>
      <c r="AB34" s="33">
        <f>-(Supuestos!B14+Supuestos!B20)*Supuestos!B55/12</f>
        <v>-1833.3333333333333</v>
      </c>
      <c r="AC34" s="33">
        <f>-(Supuestos!B14+Supuestos!B20)*Supuestos!B55/12</f>
        <v>-1833.3333333333333</v>
      </c>
      <c r="AD34" s="33">
        <f>-(Supuestos!B14+Supuestos!B20)*Supuestos!B55/12</f>
        <v>-1833.3333333333333</v>
      </c>
      <c r="AE34" s="33">
        <f>-(Supuestos!B14+Supuestos!B20)*Supuestos!B55/12</f>
        <v>-1833.3333333333333</v>
      </c>
      <c r="AF34" s="33">
        <f>-(Supuestos!B14+Supuestos!B20)*Supuestos!B55/12</f>
        <v>-1833.3333333333333</v>
      </c>
      <c r="AG34" s="33">
        <f>-(Supuestos!B14+Supuestos!B20)*Supuestos!B55/12</f>
        <v>-1833.3333333333333</v>
      </c>
      <c r="AH34" s="33">
        <f>-(Supuestos!B14+Supuestos!B20)*Supuestos!B55/12</f>
        <v>-1833.3333333333333</v>
      </c>
      <c r="AI34" s="33">
        <f>-(Supuestos!B14+Supuestos!B20)*Supuestos!B55/12</f>
        <v>-1833.3333333333333</v>
      </c>
      <c r="AJ34" s="33">
        <f>-(Supuestos!B14+Supuestos!B20)*Supuestos!B55/12</f>
        <v>-1833.3333333333333</v>
      </c>
      <c r="AK34" s="33">
        <f>-(Supuestos!B14+Supuestos!B20)*Supuestos!B55/12</f>
        <v>-1833.3333333333333</v>
      </c>
      <c r="AL34" s="33">
        <f>-(Supuestos!B14+Supuestos!B20)*Supuestos!B55/12</f>
        <v>-1833.3333333333333</v>
      </c>
      <c r="AM34" s="33">
        <f>-(Supuestos!B14+Supuestos!B20)*Supuestos!B55/12</f>
        <v>-1833.3333333333333</v>
      </c>
      <c r="AN34" s="33">
        <f>-(Supuestos!B14+Supuestos!B20)*Supuestos!B55/12</f>
        <v>-1833.3333333333333</v>
      </c>
      <c r="AO34" s="33">
        <f>-(Supuestos!B14+Supuestos!B20)*Supuestos!B55/12</f>
        <v>-1833.3333333333333</v>
      </c>
      <c r="AP34" s="33">
        <f>-(Supuestos!B14+Supuestos!B20)*Supuestos!B55/12</f>
        <v>-1833.3333333333333</v>
      </c>
      <c r="AQ34" s="33">
        <f>-(Supuestos!B14+Supuestos!B20)*Supuestos!B55/12</f>
        <v>-1833.3333333333333</v>
      </c>
      <c r="AR34" s="33">
        <f>-(Supuestos!B14+Supuestos!B20)*Supuestos!B55/12</f>
        <v>-1833.3333333333333</v>
      </c>
      <c r="AS34" s="33">
        <f>-(Supuestos!B14+Supuestos!B20)*Supuestos!B55/12</f>
        <v>-1833.3333333333333</v>
      </c>
      <c r="AT34" s="33">
        <f>-(Supuestos!B14+Supuestos!B20)*Supuestos!B55/12</f>
        <v>-1833.3333333333333</v>
      </c>
      <c r="AU34" s="51">
        <f t="shared" ref="AU34:AU39" si="7">SUM(C34:AT34)</f>
        <v>-80666.666666666657</v>
      </c>
    </row>
    <row r="35" spans="1:48" ht="15" customHeight="1" x14ac:dyDescent="0.25">
      <c r="A35" s="31" t="s">
        <v>182</v>
      </c>
      <c r="B35" s="32" t="s">
        <v>153</v>
      </c>
      <c r="C35" s="33">
        <v>0</v>
      </c>
      <c r="D35" s="33">
        <v>0</v>
      </c>
      <c r="E35" s="33">
        <v>0</v>
      </c>
      <c r="F35" s="33">
        <v>0</v>
      </c>
      <c r="G35" s="33">
        <v>0</v>
      </c>
      <c r="H35" s="33">
        <v>0</v>
      </c>
      <c r="I35" s="33">
        <v>0</v>
      </c>
      <c r="J35" s="33">
        <v>0</v>
      </c>
      <c r="K35" s="33">
        <v>0</v>
      </c>
      <c r="L35" s="33">
        <v>0</v>
      </c>
      <c r="M35" s="33">
        <v>0</v>
      </c>
      <c r="N35" s="33">
        <v>0</v>
      </c>
      <c r="O35" s="33">
        <v>0</v>
      </c>
      <c r="P35" s="33">
        <v>0</v>
      </c>
      <c r="Q35" s="33">
        <v>0</v>
      </c>
      <c r="R35" s="33">
        <v>0</v>
      </c>
      <c r="S35" s="33">
        <v>0</v>
      </c>
      <c r="T35" s="33">
        <v>0</v>
      </c>
      <c r="U35" s="33">
        <v>0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0</v>
      </c>
      <c r="AE35" s="33">
        <v>0</v>
      </c>
      <c r="AF35" s="33">
        <v>0</v>
      </c>
      <c r="AG35" s="33">
        <v>0</v>
      </c>
      <c r="AH35" s="33">
        <v>0</v>
      </c>
      <c r="AI35" s="33">
        <v>0</v>
      </c>
      <c r="AJ35" s="33">
        <v>0</v>
      </c>
      <c r="AK35" s="33">
        <v>0</v>
      </c>
      <c r="AL35" s="33">
        <v>0</v>
      </c>
      <c r="AM35" s="33">
        <v>0</v>
      </c>
      <c r="AN35" s="33">
        <v>0</v>
      </c>
      <c r="AO35" s="33">
        <f>-(Supuestos!B9/5)*Supuestos!B56</f>
        <v>-24000</v>
      </c>
      <c r="AP35" s="33">
        <f>-(Supuestos!B9/5)*Supuestos!B56</f>
        <v>-24000</v>
      </c>
      <c r="AQ35" s="33">
        <f>-(Supuestos!B9/5)*Supuestos!B56</f>
        <v>-24000</v>
      </c>
      <c r="AR35" s="33">
        <f>-(Supuestos!B9/5)*Supuestos!B56</f>
        <v>-24000</v>
      </c>
      <c r="AS35" s="33">
        <f>-(Supuestos!B9/5)*Supuestos!B56</f>
        <v>-24000</v>
      </c>
      <c r="AT35" s="33">
        <v>0</v>
      </c>
      <c r="AU35" s="51">
        <f t="shared" si="7"/>
        <v>-120000</v>
      </c>
    </row>
    <row r="36" spans="1:48" ht="15" customHeight="1" x14ac:dyDescent="0.25">
      <c r="A36" s="31" t="s">
        <v>183</v>
      </c>
      <c r="B36" s="32" t="s">
        <v>153</v>
      </c>
      <c r="C36" s="33">
        <f>-(Supuestos!B37/8)*Supuestos!B10*Supuestos!B34*Supuestos!B57</f>
        <v>-6668.9999999999991</v>
      </c>
      <c r="D36" s="33">
        <f>-(Supuestos!B37/8)*Supuestos!B10*Supuestos!B34*Supuestos!B57</f>
        <v>-6668.9999999999991</v>
      </c>
      <c r="E36" s="33">
        <f>-(Supuestos!B37/8)*Supuestos!B10*Supuestos!B34*Supuestos!B57</f>
        <v>-6668.9999999999991</v>
      </c>
      <c r="F36" s="33">
        <f>-(Supuestos!B37/8)*Supuestos!B10*Supuestos!B34*Supuestos!B57</f>
        <v>-6668.9999999999991</v>
      </c>
      <c r="G36" s="33">
        <f>-(Supuestos!B37/8)*Supuestos!B10*Supuestos!B34*Supuestos!B57</f>
        <v>-6668.9999999999991</v>
      </c>
      <c r="H36" s="33">
        <f>-(Supuestos!B37/8)*Supuestos!B10*Supuestos!B34*Supuestos!B57</f>
        <v>-6668.9999999999991</v>
      </c>
      <c r="I36" s="33">
        <f>-(Supuestos!B37/8)*Supuestos!B10*Supuestos!B34*Supuestos!B57</f>
        <v>-6668.9999999999991</v>
      </c>
      <c r="J36" s="33">
        <f>-(Supuestos!B37/8)*Supuestos!B10*Supuestos!B34*Supuestos!B57</f>
        <v>-6668.9999999999991</v>
      </c>
      <c r="K36" s="33">
        <f>-(Supuestos!B38/30)*Supuestos!B10*Supuestos!B35*Supuestos!B57</f>
        <v>-4305.5999999999995</v>
      </c>
      <c r="L36" s="33">
        <f>-(Supuestos!B38/30)*Supuestos!B10*Supuestos!B35*Supuestos!B57</f>
        <v>-4305.5999999999995</v>
      </c>
      <c r="M36" s="33">
        <f>-(Supuestos!B38/30)*Supuestos!B10*Supuestos!B35*Supuestos!B57</f>
        <v>-4305.5999999999995</v>
      </c>
      <c r="N36" s="33">
        <f>-(Supuestos!B38/30)*Supuestos!B10*Supuestos!B35*Supuestos!B57</f>
        <v>-4305.5999999999995</v>
      </c>
      <c r="O36" s="33">
        <f>-(Supuestos!B38/30)*Supuestos!B10*Supuestos!B35*Supuestos!B57</f>
        <v>-4305.5999999999995</v>
      </c>
      <c r="P36" s="33">
        <f>-(Supuestos!B38/30)*Supuestos!B10*Supuestos!B35*Supuestos!B57</f>
        <v>-4305.5999999999995</v>
      </c>
      <c r="Q36" s="33">
        <f>-(Supuestos!B38/30)*Supuestos!B10*Supuestos!B35*Supuestos!B57</f>
        <v>-4305.5999999999995</v>
      </c>
      <c r="R36" s="33">
        <f>-(Supuestos!B38/30)*Supuestos!B10*Supuestos!B35*Supuestos!B57</f>
        <v>-4305.5999999999995</v>
      </c>
      <c r="S36" s="33">
        <f>-(Supuestos!B38/30)*Supuestos!B10*Supuestos!B35*Supuestos!B57</f>
        <v>-4305.5999999999995</v>
      </c>
      <c r="T36" s="33">
        <f>-(Supuestos!B38/30)*Supuestos!B10*Supuestos!B35*Supuestos!B57</f>
        <v>-4305.5999999999995</v>
      </c>
      <c r="U36" s="33">
        <f>-(Supuestos!B38/30)*Supuestos!B10*Supuestos!B35*Supuestos!B57</f>
        <v>-4305.5999999999995</v>
      </c>
      <c r="V36" s="33">
        <f>-(Supuestos!B38/30)*Supuestos!B10*Supuestos!B35*Supuestos!B57</f>
        <v>-4305.5999999999995</v>
      </c>
      <c r="W36" s="33">
        <f>-(Supuestos!B38/30)*Supuestos!B10*Supuestos!B35*Supuestos!B57</f>
        <v>-4305.5999999999995</v>
      </c>
      <c r="X36" s="33">
        <f>-(Supuestos!B38/30)*Supuestos!B10*Supuestos!B35*Supuestos!B57</f>
        <v>-4305.5999999999995</v>
      </c>
      <c r="Y36" s="33">
        <f>-(Supuestos!B38/30)*Supuestos!B10*Supuestos!B35*Supuestos!B57</f>
        <v>-4305.5999999999995</v>
      </c>
      <c r="Z36" s="33">
        <f>-(Supuestos!B38/30)*Supuestos!B10*Supuestos!B35*Supuestos!B57</f>
        <v>-4305.5999999999995</v>
      </c>
      <c r="AA36" s="33">
        <f>-(Supuestos!B38/30)*Supuestos!B10*Supuestos!B35*Supuestos!B57</f>
        <v>-4305.5999999999995</v>
      </c>
      <c r="AB36" s="33">
        <f>-(Supuestos!B38/30)*Supuestos!B10*Supuestos!B35*Supuestos!B57</f>
        <v>-4305.5999999999995</v>
      </c>
      <c r="AC36" s="33">
        <f>-(Supuestos!B38/30)*Supuestos!B10*Supuestos!B35*Supuestos!B57</f>
        <v>-4305.5999999999995</v>
      </c>
      <c r="AD36" s="33">
        <f>-(Supuestos!B38/30)*Supuestos!B10*Supuestos!B35*Supuestos!B57</f>
        <v>-4305.5999999999995</v>
      </c>
      <c r="AE36" s="33">
        <f>-(Supuestos!B38/30)*Supuestos!B10*Supuestos!B35*Supuestos!B57</f>
        <v>-4305.5999999999995</v>
      </c>
      <c r="AF36" s="33">
        <f>-(Supuestos!B38/30)*Supuestos!B10*Supuestos!B35*Supuestos!B57</f>
        <v>-4305.5999999999995</v>
      </c>
      <c r="AG36" s="33">
        <f>-(Supuestos!B38/30)*Supuestos!B10*Supuestos!B35*Supuestos!B57</f>
        <v>-4305.5999999999995</v>
      </c>
      <c r="AH36" s="33">
        <f>-(Supuestos!B38/30)*Supuestos!B10*Supuestos!B35*Supuestos!B57</f>
        <v>-4305.5999999999995</v>
      </c>
      <c r="AI36" s="33">
        <f>-(Supuestos!B38/30)*Supuestos!B10*Supuestos!B35*Supuestos!B57</f>
        <v>-4305.5999999999995</v>
      </c>
      <c r="AJ36" s="33">
        <f>-(Supuestos!B38/30)*Supuestos!B10*Supuestos!B35*Supuestos!B57</f>
        <v>-4305.5999999999995</v>
      </c>
      <c r="AK36" s="33">
        <f>-(Supuestos!B38/30)*Supuestos!B10*Supuestos!B35*Supuestos!B57</f>
        <v>-4305.5999999999995</v>
      </c>
      <c r="AL36" s="33">
        <f>-(Supuestos!B38/30)*Supuestos!B10*Supuestos!B35*Supuestos!B57</f>
        <v>-4305.5999999999995</v>
      </c>
      <c r="AM36" s="33">
        <f>-(Supuestos!B38/30)*Supuestos!B10*Supuestos!B35*Supuestos!B57</f>
        <v>-4305.5999999999995</v>
      </c>
      <c r="AN36" s="33">
        <f>-(Supuestos!B38/30)*Supuestos!B10*Supuestos!B35*Supuestos!B57</f>
        <v>-4305.5999999999995</v>
      </c>
      <c r="AO36" s="33">
        <f>-(Supuestos!B39/5)*Supuestos!B10*Supuestos!B36*Supuestos!B57</f>
        <v>-4867.2</v>
      </c>
      <c r="AP36" s="33">
        <f>-(Supuestos!B39/5)*Supuestos!B10*Supuestos!B36*Supuestos!B57</f>
        <v>-4867.2</v>
      </c>
      <c r="AQ36" s="33">
        <f>-(Supuestos!B39/5)*Supuestos!B10*Supuestos!B36*Supuestos!B57</f>
        <v>-4867.2</v>
      </c>
      <c r="AR36" s="33">
        <f>-(Supuestos!B39/5)*Supuestos!B10*Supuestos!B36*Supuestos!B57</f>
        <v>-4867.2</v>
      </c>
      <c r="AS36" s="33">
        <f>-(Supuestos!B39/5)*Supuestos!B10*Supuestos!B36*Supuestos!B57</f>
        <v>-4867.2</v>
      </c>
      <c r="AT36" s="33">
        <v>0</v>
      </c>
      <c r="AU36" s="51">
        <f t="shared" si="7"/>
        <v>-206856.0000000002</v>
      </c>
    </row>
    <row r="37" spans="1:48" ht="15" customHeight="1" x14ac:dyDescent="0.25">
      <c r="A37" s="31" t="s">
        <v>184</v>
      </c>
      <c r="B37" s="32" t="s">
        <v>153</v>
      </c>
      <c r="C37" s="33">
        <f>-Supuestos!B59</f>
        <v>-8000</v>
      </c>
      <c r="D37" s="33">
        <f>-Supuestos!B59</f>
        <v>-8000</v>
      </c>
      <c r="E37" s="33">
        <f>-Supuestos!B59</f>
        <v>-8000</v>
      </c>
      <c r="F37" s="33">
        <f>-Supuestos!B59</f>
        <v>-8000</v>
      </c>
      <c r="G37" s="33">
        <f>-Supuestos!B59</f>
        <v>-8000</v>
      </c>
      <c r="H37" s="33">
        <f>-Supuestos!B59</f>
        <v>-8000</v>
      </c>
      <c r="I37" s="33">
        <f>-Supuestos!B59</f>
        <v>-8000</v>
      </c>
      <c r="J37" s="33">
        <f>-Supuestos!B59</f>
        <v>-8000</v>
      </c>
      <c r="K37" s="33">
        <f>-Supuestos!B59</f>
        <v>-8000</v>
      </c>
      <c r="L37" s="33">
        <f>-Supuestos!B59</f>
        <v>-8000</v>
      </c>
      <c r="M37" s="33">
        <f>-Supuestos!B59</f>
        <v>-8000</v>
      </c>
      <c r="N37" s="33">
        <f>-Supuestos!B59</f>
        <v>-8000</v>
      </c>
      <c r="O37" s="33">
        <f>-Supuestos!B59</f>
        <v>-8000</v>
      </c>
      <c r="P37" s="33">
        <f>-Supuestos!B59</f>
        <v>-8000</v>
      </c>
      <c r="Q37" s="33">
        <f>-Supuestos!B59</f>
        <v>-8000</v>
      </c>
      <c r="R37" s="33">
        <f>-Supuestos!B59</f>
        <v>-8000</v>
      </c>
      <c r="S37" s="33">
        <f>-Supuestos!B59</f>
        <v>-8000</v>
      </c>
      <c r="T37" s="33">
        <f>-Supuestos!B59</f>
        <v>-8000</v>
      </c>
      <c r="U37" s="33">
        <f>-Supuestos!B59</f>
        <v>-8000</v>
      </c>
      <c r="V37" s="33">
        <f>-Supuestos!B59</f>
        <v>-8000</v>
      </c>
      <c r="W37" s="33">
        <f>-Supuestos!B59</f>
        <v>-8000</v>
      </c>
      <c r="X37" s="33">
        <f>-Supuestos!B59</f>
        <v>-8000</v>
      </c>
      <c r="Y37" s="33">
        <f>-Supuestos!B59</f>
        <v>-8000</v>
      </c>
      <c r="Z37" s="33">
        <f>-Supuestos!B59</f>
        <v>-8000</v>
      </c>
      <c r="AA37" s="33">
        <f>-Supuestos!B59</f>
        <v>-8000</v>
      </c>
      <c r="AB37" s="33">
        <f>-Supuestos!B59</f>
        <v>-8000</v>
      </c>
      <c r="AC37" s="33">
        <f>-Supuestos!B59</f>
        <v>-8000</v>
      </c>
      <c r="AD37" s="33">
        <f>-Supuestos!B59</f>
        <v>-8000</v>
      </c>
      <c r="AE37" s="33">
        <f>-Supuestos!B59</f>
        <v>-8000</v>
      </c>
      <c r="AF37" s="33">
        <f>-Supuestos!B59</f>
        <v>-8000</v>
      </c>
      <c r="AG37" s="33">
        <f>-Supuestos!B59</f>
        <v>-8000</v>
      </c>
      <c r="AH37" s="33">
        <f>-Supuestos!B59</f>
        <v>-8000</v>
      </c>
      <c r="AI37" s="33">
        <f>-Supuestos!B59</f>
        <v>-8000</v>
      </c>
      <c r="AJ37" s="33">
        <f>-Supuestos!B59</f>
        <v>-8000</v>
      </c>
      <c r="AK37" s="33">
        <f>-Supuestos!B59</f>
        <v>-8000</v>
      </c>
      <c r="AL37" s="33">
        <f>-Supuestos!B59</f>
        <v>-8000</v>
      </c>
      <c r="AM37" s="33">
        <f>-Supuestos!B59</f>
        <v>-8000</v>
      </c>
      <c r="AN37" s="33">
        <f>-Supuestos!B59</f>
        <v>-8000</v>
      </c>
      <c r="AO37" s="33">
        <f>-Supuestos!B59</f>
        <v>-8000</v>
      </c>
      <c r="AP37" s="33">
        <f>-Supuestos!B59</f>
        <v>-8000</v>
      </c>
      <c r="AQ37" s="33">
        <f>-Supuestos!B59</f>
        <v>-8000</v>
      </c>
      <c r="AR37" s="33">
        <f>-Supuestos!B59</f>
        <v>-8000</v>
      </c>
      <c r="AS37" s="33">
        <f>-Supuestos!B59</f>
        <v>-8000</v>
      </c>
      <c r="AT37" s="33">
        <f>-Supuestos!B59</f>
        <v>-8000</v>
      </c>
      <c r="AU37" s="51">
        <f t="shared" si="7"/>
        <v>-352000</v>
      </c>
    </row>
    <row r="38" spans="1:48" ht="15" customHeight="1" x14ac:dyDescent="0.25">
      <c r="A38" s="31" t="s">
        <v>185</v>
      </c>
      <c r="B38" s="32" t="s">
        <v>153</v>
      </c>
      <c r="C38" s="33">
        <v>0</v>
      </c>
      <c r="D38" s="33">
        <v>0</v>
      </c>
      <c r="E38" s="33">
        <v>0</v>
      </c>
      <c r="F38" s="33">
        <v>0</v>
      </c>
      <c r="G38" s="33">
        <v>0</v>
      </c>
      <c r="H38" s="33">
        <v>0</v>
      </c>
      <c r="I38" s="33">
        <v>0</v>
      </c>
      <c r="J38" s="33">
        <v>0</v>
      </c>
      <c r="K38" s="33">
        <v>0</v>
      </c>
      <c r="L38" s="33">
        <v>0</v>
      </c>
      <c r="M38" s="33">
        <v>0</v>
      </c>
      <c r="N38" s="33">
        <v>0</v>
      </c>
      <c r="O38" s="33">
        <v>0</v>
      </c>
      <c r="P38" s="33">
        <v>0</v>
      </c>
      <c r="Q38" s="33">
        <v>0</v>
      </c>
      <c r="R38" s="33">
        <v>0</v>
      </c>
      <c r="S38" s="33">
        <v>0</v>
      </c>
      <c r="T38" s="33">
        <v>0</v>
      </c>
      <c r="U38" s="33">
        <v>0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0</v>
      </c>
      <c r="AE38" s="33">
        <v>0</v>
      </c>
      <c r="AF38" s="33">
        <v>0</v>
      </c>
      <c r="AG38" s="33">
        <v>0</v>
      </c>
      <c r="AH38" s="33">
        <v>0</v>
      </c>
      <c r="AI38" s="33">
        <v>0</v>
      </c>
      <c r="AJ38" s="33">
        <v>0</v>
      </c>
      <c r="AK38" s="33">
        <v>0</v>
      </c>
      <c r="AL38" s="33">
        <v>0</v>
      </c>
      <c r="AM38" s="33">
        <v>0</v>
      </c>
      <c r="AN38" s="33">
        <v>0</v>
      </c>
      <c r="AO38" s="33">
        <f>-((Supuestos!B37+Supuestos!B38+Supuestos!B39)/5)*Supuestos!B10*Supuestos!B35*Supuestos!B60</f>
        <v>-19136</v>
      </c>
      <c r="AP38" s="33">
        <f>-((Supuestos!B37+Supuestos!B38+Supuestos!B39)/5)*Supuestos!B10*Supuestos!B35*Supuestos!B60</f>
        <v>-19136</v>
      </c>
      <c r="AQ38" s="33">
        <f>-((Supuestos!B37+Supuestos!B38+Supuestos!B39)/5)*Supuestos!B10*Supuestos!B35*Supuestos!B60</f>
        <v>-19136</v>
      </c>
      <c r="AR38" s="33">
        <f>-((Supuestos!B37+Supuestos!B38+Supuestos!B39)/5)*Supuestos!B10*Supuestos!B35*Supuestos!B60</f>
        <v>-19136</v>
      </c>
      <c r="AS38" s="33">
        <f>-((Supuestos!B37+Supuestos!B38+Supuestos!B39)/5)*Supuestos!B10*Supuestos!B35*Supuestos!B60</f>
        <v>-19136</v>
      </c>
      <c r="AT38" s="33">
        <v>0</v>
      </c>
      <c r="AU38" s="51">
        <f t="shared" si="7"/>
        <v>-95680</v>
      </c>
    </row>
    <row r="39" spans="1:48" ht="15.75" customHeight="1" x14ac:dyDescent="0.25">
      <c r="A39" s="52" t="s">
        <v>186</v>
      </c>
      <c r="B39" s="32" t="s">
        <v>153</v>
      </c>
      <c r="C39" s="53">
        <f t="shared" ref="C39:AT39" si="8">SUM(C34:C38)</f>
        <v>-16502.333333333332</v>
      </c>
      <c r="D39" s="53">
        <f t="shared" si="8"/>
        <v>-16502.333333333332</v>
      </c>
      <c r="E39" s="53">
        <f t="shared" si="8"/>
        <v>-16502.333333333332</v>
      </c>
      <c r="F39" s="53">
        <f t="shared" si="8"/>
        <v>-16502.333333333332</v>
      </c>
      <c r="G39" s="53">
        <f t="shared" si="8"/>
        <v>-16502.333333333332</v>
      </c>
      <c r="H39" s="53">
        <f t="shared" si="8"/>
        <v>-16502.333333333332</v>
      </c>
      <c r="I39" s="53">
        <f t="shared" si="8"/>
        <v>-16502.333333333332</v>
      </c>
      <c r="J39" s="53">
        <f t="shared" si="8"/>
        <v>-16502.333333333332</v>
      </c>
      <c r="K39" s="53">
        <f t="shared" si="8"/>
        <v>-14138.933333333332</v>
      </c>
      <c r="L39" s="53">
        <f t="shared" si="8"/>
        <v>-14138.933333333332</v>
      </c>
      <c r="M39" s="53">
        <f t="shared" si="8"/>
        <v>-14138.933333333332</v>
      </c>
      <c r="N39" s="53">
        <f t="shared" si="8"/>
        <v>-14138.933333333332</v>
      </c>
      <c r="O39" s="53">
        <f t="shared" si="8"/>
        <v>-14138.933333333332</v>
      </c>
      <c r="P39" s="53">
        <f t="shared" si="8"/>
        <v>-14138.933333333332</v>
      </c>
      <c r="Q39" s="53">
        <f t="shared" si="8"/>
        <v>-14138.933333333332</v>
      </c>
      <c r="R39" s="53">
        <f t="shared" si="8"/>
        <v>-14138.933333333332</v>
      </c>
      <c r="S39" s="53">
        <f t="shared" si="8"/>
        <v>-14138.933333333332</v>
      </c>
      <c r="T39" s="53">
        <f t="shared" si="8"/>
        <v>-14138.933333333332</v>
      </c>
      <c r="U39" s="53">
        <f t="shared" si="8"/>
        <v>-14138.933333333332</v>
      </c>
      <c r="V39" s="53">
        <f t="shared" si="8"/>
        <v>-14138.933333333332</v>
      </c>
      <c r="W39" s="53">
        <f t="shared" si="8"/>
        <v>-14138.933333333332</v>
      </c>
      <c r="X39" s="53">
        <f t="shared" si="8"/>
        <v>-14138.933333333332</v>
      </c>
      <c r="Y39" s="53">
        <f t="shared" si="8"/>
        <v>-14138.933333333332</v>
      </c>
      <c r="Z39" s="53">
        <f t="shared" si="8"/>
        <v>-14138.933333333332</v>
      </c>
      <c r="AA39" s="53">
        <f t="shared" si="8"/>
        <v>-14138.933333333332</v>
      </c>
      <c r="AB39" s="53">
        <f t="shared" si="8"/>
        <v>-14138.933333333332</v>
      </c>
      <c r="AC39" s="53">
        <f t="shared" si="8"/>
        <v>-14138.933333333332</v>
      </c>
      <c r="AD39" s="53">
        <f t="shared" si="8"/>
        <v>-14138.933333333332</v>
      </c>
      <c r="AE39" s="53">
        <f t="shared" si="8"/>
        <v>-14138.933333333332</v>
      </c>
      <c r="AF39" s="53">
        <f t="shared" si="8"/>
        <v>-14138.933333333332</v>
      </c>
      <c r="AG39" s="53">
        <f t="shared" si="8"/>
        <v>-14138.933333333332</v>
      </c>
      <c r="AH39" s="53">
        <f t="shared" si="8"/>
        <v>-14138.933333333332</v>
      </c>
      <c r="AI39" s="53">
        <f t="shared" si="8"/>
        <v>-14138.933333333332</v>
      </c>
      <c r="AJ39" s="53">
        <f t="shared" si="8"/>
        <v>-14138.933333333332</v>
      </c>
      <c r="AK39" s="53">
        <f t="shared" si="8"/>
        <v>-14138.933333333332</v>
      </c>
      <c r="AL39" s="53">
        <f t="shared" si="8"/>
        <v>-14138.933333333332</v>
      </c>
      <c r="AM39" s="53">
        <f t="shared" si="8"/>
        <v>-14138.933333333332</v>
      </c>
      <c r="AN39" s="53">
        <f t="shared" si="8"/>
        <v>-14138.933333333332</v>
      </c>
      <c r="AO39" s="53">
        <f t="shared" si="8"/>
        <v>-57836.533333333333</v>
      </c>
      <c r="AP39" s="53">
        <f t="shared" si="8"/>
        <v>-57836.533333333333</v>
      </c>
      <c r="AQ39" s="53">
        <f t="shared" si="8"/>
        <v>-57836.533333333333</v>
      </c>
      <c r="AR39" s="53">
        <f t="shared" si="8"/>
        <v>-57836.533333333333</v>
      </c>
      <c r="AS39" s="53">
        <f t="shared" si="8"/>
        <v>-57836.533333333333</v>
      </c>
      <c r="AT39" s="53">
        <f t="shared" si="8"/>
        <v>-9833.3333333333339</v>
      </c>
      <c r="AU39" s="51">
        <f t="shared" si="7"/>
        <v>-855202.66666666686</v>
      </c>
    </row>
    <row r="40" spans="1:48" ht="18" customHeight="1" x14ac:dyDescent="0.25">
      <c r="A40" s="9" t="s">
        <v>187</v>
      </c>
      <c r="B40" s="9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  <c r="AA40" s="37"/>
      <c r="AB40" s="37"/>
      <c r="AC40" s="37"/>
      <c r="AD40" s="37"/>
      <c r="AE40" s="37"/>
      <c r="AF40" s="37"/>
      <c r="AG40" s="37"/>
      <c r="AH40" s="37"/>
      <c r="AI40" s="37"/>
      <c r="AJ40" s="37"/>
      <c r="AK40" s="37"/>
      <c r="AL40" s="37"/>
      <c r="AM40" s="37"/>
      <c r="AN40" s="37"/>
      <c r="AO40" s="37"/>
      <c r="AP40" s="37"/>
      <c r="AQ40" s="37"/>
      <c r="AR40" s="37"/>
      <c r="AS40" s="37"/>
      <c r="AT40" s="37"/>
      <c r="AU40" s="37"/>
      <c r="AV40" s="37"/>
    </row>
    <row r="41" spans="1:48" ht="15" customHeight="1" x14ac:dyDescent="0.25">
      <c r="A41" s="31" t="s">
        <v>188</v>
      </c>
      <c r="B41" s="32" t="s">
        <v>153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33">
        <v>0</v>
      </c>
      <c r="AF41" s="33">
        <v>0</v>
      </c>
      <c r="AG41" s="33">
        <v>0</v>
      </c>
      <c r="AH41" s="33">
        <v>0</v>
      </c>
      <c r="AI41" s="33">
        <v>0</v>
      </c>
      <c r="AJ41" s="33">
        <v>0</v>
      </c>
      <c r="AK41" s="33">
        <v>0</v>
      </c>
      <c r="AL41" s="33">
        <v>0</v>
      </c>
      <c r="AM41" s="33">
        <v>0</v>
      </c>
      <c r="AN41" s="33">
        <v>0</v>
      </c>
      <c r="AO41" s="33">
        <v>0</v>
      </c>
      <c r="AP41" s="33">
        <v>0</v>
      </c>
      <c r="AQ41" s="38">
        <f>-Supuestos!B14</f>
        <v>-500000</v>
      </c>
      <c r="AR41" s="33">
        <v>0</v>
      </c>
      <c r="AS41" s="33">
        <v>0</v>
      </c>
      <c r="AT41" s="33">
        <v>0</v>
      </c>
      <c r="AU41" s="39">
        <f t="shared" ref="AU41:AU46" si="9">SUM(C41:AT41)</f>
        <v>-500000</v>
      </c>
    </row>
    <row r="42" spans="1:48" ht="15" customHeight="1" x14ac:dyDescent="0.25">
      <c r="A42" s="31" t="s">
        <v>189</v>
      </c>
      <c r="B42" s="32" t="s">
        <v>153</v>
      </c>
      <c r="C42" s="33">
        <v>0</v>
      </c>
      <c r="D42" s="33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33">
        <v>0</v>
      </c>
      <c r="AF42" s="33">
        <v>0</v>
      </c>
      <c r="AG42" s="33">
        <v>0</v>
      </c>
      <c r="AH42" s="33">
        <v>0</v>
      </c>
      <c r="AI42" s="33">
        <v>0</v>
      </c>
      <c r="AJ42" s="33">
        <v>0</v>
      </c>
      <c r="AK42" s="33">
        <v>0</v>
      </c>
      <c r="AL42" s="33">
        <v>0</v>
      </c>
      <c r="AM42" s="33">
        <v>0</v>
      </c>
      <c r="AN42" s="33">
        <v>0</v>
      </c>
      <c r="AO42" s="33">
        <v>0</v>
      </c>
      <c r="AP42" s="33">
        <v>0</v>
      </c>
      <c r="AQ42" s="38">
        <f>-Supuestos!B14*((1+Supuestos!B15/12)^40-1)</f>
        <v>-244431.86679411077</v>
      </c>
      <c r="AR42" s="33">
        <v>0</v>
      </c>
      <c r="AS42" s="33">
        <v>0</v>
      </c>
      <c r="AT42" s="33">
        <v>0</v>
      </c>
      <c r="AU42" s="39">
        <f t="shared" si="9"/>
        <v>-244431.86679411077</v>
      </c>
    </row>
    <row r="43" spans="1:48" ht="15" customHeight="1" x14ac:dyDescent="0.25">
      <c r="A43" s="31" t="s">
        <v>190</v>
      </c>
      <c r="B43" s="32" t="s">
        <v>153</v>
      </c>
      <c r="C43" s="33">
        <v>0</v>
      </c>
      <c r="D43" s="33">
        <v>0</v>
      </c>
      <c r="E43" s="33">
        <v>0</v>
      </c>
      <c r="F43" s="33">
        <v>0</v>
      </c>
      <c r="G43" s="33">
        <v>0</v>
      </c>
      <c r="H43" s="33">
        <v>0</v>
      </c>
      <c r="I43" s="33">
        <v>0</v>
      </c>
      <c r="J43" s="33">
        <v>0</v>
      </c>
      <c r="K43" s="54">
        <f>Supuestos!B20*Supuestos!B28</f>
        <v>1950000</v>
      </c>
      <c r="L43" s="33">
        <v>0</v>
      </c>
      <c r="M43" s="33">
        <v>0</v>
      </c>
      <c r="N43" s="33">
        <v>0</v>
      </c>
      <c r="O43" s="33">
        <v>0</v>
      </c>
      <c r="P43" s="33">
        <v>0</v>
      </c>
      <c r="Q43" s="33">
        <v>0</v>
      </c>
      <c r="R43" s="33">
        <v>0</v>
      </c>
      <c r="S43" s="33">
        <v>0</v>
      </c>
      <c r="T43" s="33">
        <v>0</v>
      </c>
      <c r="U43" s="33">
        <v>0</v>
      </c>
      <c r="V43" s="33">
        <v>0</v>
      </c>
      <c r="W43" s="33">
        <v>0</v>
      </c>
      <c r="X43" s="33">
        <v>0</v>
      </c>
      <c r="Y43" s="33">
        <v>0</v>
      </c>
      <c r="Z43" s="33">
        <v>0</v>
      </c>
      <c r="AA43" s="33">
        <v>0</v>
      </c>
      <c r="AB43" s="33">
        <v>0</v>
      </c>
      <c r="AC43" s="33">
        <v>0</v>
      </c>
      <c r="AD43" s="33">
        <v>0</v>
      </c>
      <c r="AE43" s="33">
        <v>0</v>
      </c>
      <c r="AF43" s="33">
        <v>0</v>
      </c>
      <c r="AG43" s="33">
        <v>0</v>
      </c>
      <c r="AH43" s="33">
        <v>0</v>
      </c>
      <c r="AI43" s="33">
        <v>0</v>
      </c>
      <c r="AJ43" s="33">
        <v>0</v>
      </c>
      <c r="AK43" s="33">
        <v>0</v>
      </c>
      <c r="AL43" s="33">
        <v>0</v>
      </c>
      <c r="AM43" s="33">
        <v>0</v>
      </c>
      <c r="AN43" s="33">
        <v>0</v>
      </c>
      <c r="AO43" s="33">
        <v>0</v>
      </c>
      <c r="AP43" s="33">
        <v>0</v>
      </c>
      <c r="AQ43" s="33">
        <v>0</v>
      </c>
      <c r="AR43" s="33">
        <v>0</v>
      </c>
      <c r="AS43" s="33">
        <v>0</v>
      </c>
      <c r="AT43" s="33">
        <v>0</v>
      </c>
      <c r="AU43" s="39">
        <f t="shared" si="9"/>
        <v>1950000</v>
      </c>
    </row>
    <row r="44" spans="1:48" ht="15" customHeight="1" x14ac:dyDescent="0.25">
      <c r="A44" s="31" t="s">
        <v>191</v>
      </c>
      <c r="B44" s="32" t="s">
        <v>153</v>
      </c>
      <c r="C44" s="33">
        <v>0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0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0</v>
      </c>
      <c r="AE44" s="33">
        <v>0</v>
      </c>
      <c r="AF44" s="33">
        <v>0</v>
      </c>
      <c r="AG44" s="33">
        <v>0</v>
      </c>
      <c r="AH44" s="33">
        <v>0</v>
      </c>
      <c r="AI44" s="33">
        <v>0</v>
      </c>
      <c r="AJ44" s="33">
        <v>0</v>
      </c>
      <c r="AK44" s="33">
        <v>0</v>
      </c>
      <c r="AL44" s="33">
        <v>0</v>
      </c>
      <c r="AM44" s="33">
        <v>0</v>
      </c>
      <c r="AN44" s="33">
        <v>0</v>
      </c>
      <c r="AO44" s="38">
        <f>-Supuestos!B20*Supuestos!B28/4</f>
        <v>-487500</v>
      </c>
      <c r="AP44" s="38">
        <f>-Supuestos!B20*Supuestos!B28/4</f>
        <v>-487500</v>
      </c>
      <c r="AQ44" s="38">
        <f>-Supuestos!B20*Supuestos!B28/4</f>
        <v>-487500</v>
      </c>
      <c r="AR44" s="38">
        <f>-Supuestos!B20*Supuestos!B28/4</f>
        <v>-487500</v>
      </c>
      <c r="AS44" s="33">
        <v>0</v>
      </c>
      <c r="AT44" s="33">
        <v>0</v>
      </c>
      <c r="AU44" s="39">
        <f t="shared" si="9"/>
        <v>-1950000</v>
      </c>
    </row>
    <row r="45" spans="1:48" ht="15" customHeight="1" x14ac:dyDescent="0.25">
      <c r="A45" s="31" t="s">
        <v>192</v>
      </c>
      <c r="B45" s="32" t="s">
        <v>153</v>
      </c>
      <c r="C45" s="33">
        <v>0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0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  <c r="AJ45" s="33">
        <v>0</v>
      </c>
      <c r="AK45" s="33">
        <v>0</v>
      </c>
      <c r="AL45" s="33">
        <v>0</v>
      </c>
      <c r="AM45" s="33">
        <v>0</v>
      </c>
      <c r="AN45" s="33">
        <v>0</v>
      </c>
      <c r="AO45" s="38">
        <f>-Supuestos!B20*Supuestos!B28/4*((1+Supuestos!B29/12)^30-1)</f>
        <v>-312946.22144476243</v>
      </c>
      <c r="AP45" s="38">
        <f>-Supuestos!B20*Supuestos!B28/4*((1+Supuestos!B29/12)^30-1)</f>
        <v>-312946.22144476243</v>
      </c>
      <c r="AQ45" s="38">
        <f>-Supuestos!B20*Supuestos!B28/4*((1+Supuestos!B29/12)^30-1)</f>
        <v>-312946.22144476243</v>
      </c>
      <c r="AR45" s="38">
        <f>-Supuestos!B20*Supuestos!B28/4*((1+Supuestos!B29/12)^30-1)</f>
        <v>-312946.22144476243</v>
      </c>
      <c r="AS45" s="33">
        <v>0</v>
      </c>
      <c r="AT45" s="33">
        <v>0</v>
      </c>
      <c r="AU45" s="39">
        <f t="shared" si="9"/>
        <v>-1251784.8857790497</v>
      </c>
    </row>
    <row r="46" spans="1:48" ht="15.75" customHeight="1" x14ac:dyDescent="0.25">
      <c r="A46" s="40" t="s">
        <v>193</v>
      </c>
      <c r="B46" s="32" t="s">
        <v>153</v>
      </c>
      <c r="C46" s="41">
        <f t="shared" ref="C46:AT46" si="10">SUM(C41:C45)</f>
        <v>0</v>
      </c>
      <c r="D46" s="41">
        <f t="shared" si="10"/>
        <v>0</v>
      </c>
      <c r="E46" s="41">
        <f t="shared" si="10"/>
        <v>0</v>
      </c>
      <c r="F46" s="41">
        <f t="shared" si="10"/>
        <v>0</v>
      </c>
      <c r="G46" s="41">
        <f t="shared" si="10"/>
        <v>0</v>
      </c>
      <c r="H46" s="41">
        <f t="shared" si="10"/>
        <v>0</v>
      </c>
      <c r="I46" s="41">
        <f t="shared" si="10"/>
        <v>0</v>
      </c>
      <c r="J46" s="41">
        <f t="shared" si="10"/>
        <v>0</v>
      </c>
      <c r="K46" s="41">
        <f t="shared" si="10"/>
        <v>1950000</v>
      </c>
      <c r="L46" s="41">
        <f t="shared" si="10"/>
        <v>0</v>
      </c>
      <c r="M46" s="41">
        <f t="shared" si="10"/>
        <v>0</v>
      </c>
      <c r="N46" s="41">
        <f t="shared" si="10"/>
        <v>0</v>
      </c>
      <c r="O46" s="41">
        <f t="shared" si="10"/>
        <v>0</v>
      </c>
      <c r="P46" s="41">
        <f t="shared" si="10"/>
        <v>0</v>
      </c>
      <c r="Q46" s="41">
        <f t="shared" si="10"/>
        <v>0</v>
      </c>
      <c r="R46" s="41">
        <f t="shared" si="10"/>
        <v>0</v>
      </c>
      <c r="S46" s="41">
        <f t="shared" si="10"/>
        <v>0</v>
      </c>
      <c r="T46" s="41">
        <f t="shared" si="10"/>
        <v>0</v>
      </c>
      <c r="U46" s="41">
        <f t="shared" si="10"/>
        <v>0</v>
      </c>
      <c r="V46" s="41">
        <f t="shared" si="10"/>
        <v>0</v>
      </c>
      <c r="W46" s="41">
        <f t="shared" si="10"/>
        <v>0</v>
      </c>
      <c r="X46" s="41">
        <f t="shared" si="10"/>
        <v>0</v>
      </c>
      <c r="Y46" s="41">
        <f t="shared" si="10"/>
        <v>0</v>
      </c>
      <c r="Z46" s="41">
        <f t="shared" si="10"/>
        <v>0</v>
      </c>
      <c r="AA46" s="41">
        <f t="shared" si="10"/>
        <v>0</v>
      </c>
      <c r="AB46" s="41">
        <f t="shared" si="10"/>
        <v>0</v>
      </c>
      <c r="AC46" s="41">
        <f t="shared" si="10"/>
        <v>0</v>
      </c>
      <c r="AD46" s="41">
        <f t="shared" si="10"/>
        <v>0</v>
      </c>
      <c r="AE46" s="41">
        <f t="shared" si="10"/>
        <v>0</v>
      </c>
      <c r="AF46" s="41">
        <f t="shared" si="10"/>
        <v>0</v>
      </c>
      <c r="AG46" s="41">
        <f t="shared" si="10"/>
        <v>0</v>
      </c>
      <c r="AH46" s="41">
        <f t="shared" si="10"/>
        <v>0</v>
      </c>
      <c r="AI46" s="41">
        <f t="shared" si="10"/>
        <v>0</v>
      </c>
      <c r="AJ46" s="41">
        <f t="shared" si="10"/>
        <v>0</v>
      </c>
      <c r="AK46" s="41">
        <f t="shared" si="10"/>
        <v>0</v>
      </c>
      <c r="AL46" s="41">
        <f t="shared" si="10"/>
        <v>0</v>
      </c>
      <c r="AM46" s="41">
        <f t="shared" si="10"/>
        <v>0</v>
      </c>
      <c r="AN46" s="41">
        <f t="shared" si="10"/>
        <v>0</v>
      </c>
      <c r="AO46" s="41">
        <f t="shared" si="10"/>
        <v>-800446.22144476243</v>
      </c>
      <c r="AP46" s="41">
        <f t="shared" si="10"/>
        <v>-800446.22144476243</v>
      </c>
      <c r="AQ46" s="41">
        <f t="shared" si="10"/>
        <v>-1544878.0882388731</v>
      </c>
      <c r="AR46" s="41">
        <f t="shared" si="10"/>
        <v>-800446.22144476243</v>
      </c>
      <c r="AS46" s="41">
        <f t="shared" si="10"/>
        <v>0</v>
      </c>
      <c r="AT46" s="41">
        <f t="shared" si="10"/>
        <v>0</v>
      </c>
      <c r="AU46" s="39">
        <f t="shared" si="9"/>
        <v>-1996216.75257316</v>
      </c>
    </row>
    <row r="47" spans="1:48" ht="3.75" customHeight="1" x14ac:dyDescent="0.25"/>
    <row r="48" spans="1:48" ht="19.5" customHeight="1" x14ac:dyDescent="0.25">
      <c r="A48" s="6" t="s">
        <v>194</v>
      </c>
      <c r="B48" s="6"/>
      <c r="C48" s="50"/>
      <c r="D48" s="50"/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</row>
    <row r="49" spans="1:47" ht="18" customHeight="1" x14ac:dyDescent="0.25">
      <c r="A49" s="52" t="s">
        <v>195</v>
      </c>
      <c r="B49" s="32" t="s">
        <v>153</v>
      </c>
      <c r="C49" s="55">
        <f t="shared" ref="C49:AT49" si="11">C13+C18+C25+C32+C39+C46</f>
        <v>-566723.33333333337</v>
      </c>
      <c r="D49" s="55">
        <f t="shared" si="11"/>
        <v>-49223.333333333328</v>
      </c>
      <c r="E49" s="55">
        <f t="shared" si="11"/>
        <v>-38223.333333333328</v>
      </c>
      <c r="F49" s="55">
        <f t="shared" si="11"/>
        <v>-34723.333333333328</v>
      </c>
      <c r="G49" s="55">
        <f t="shared" si="11"/>
        <v>-83473.333333333328</v>
      </c>
      <c r="H49" s="55">
        <f t="shared" si="11"/>
        <v>-34723.333333333328</v>
      </c>
      <c r="I49" s="55">
        <f t="shared" si="11"/>
        <v>-34723.333333333328</v>
      </c>
      <c r="J49" s="55">
        <f t="shared" si="11"/>
        <v>-34723.333333333328</v>
      </c>
      <c r="K49" s="55">
        <f t="shared" si="11"/>
        <v>1955760.8853333334</v>
      </c>
      <c r="L49" s="55">
        <f t="shared" si="11"/>
        <v>-224.55466666665779</v>
      </c>
      <c r="M49" s="55">
        <f t="shared" si="11"/>
        <v>-23837.962666666652</v>
      </c>
      <c r="N49" s="55">
        <f t="shared" si="11"/>
        <v>-71056.042666666661</v>
      </c>
      <c r="O49" s="55">
        <f t="shared" si="11"/>
        <v>-94669.450666666657</v>
      </c>
      <c r="P49" s="55">
        <f t="shared" si="11"/>
        <v>-118278.49066666664</v>
      </c>
      <c r="Q49" s="55">
        <f t="shared" si="11"/>
        <v>-141891.89866666665</v>
      </c>
      <c r="R49" s="55">
        <f t="shared" si="11"/>
        <v>-165500.93866666665</v>
      </c>
      <c r="S49" s="55">
        <f t="shared" si="11"/>
        <v>-165500.93866666665</v>
      </c>
      <c r="T49" s="55">
        <f t="shared" si="11"/>
        <v>-165500.93866666665</v>
      </c>
      <c r="U49" s="55">
        <f t="shared" si="11"/>
        <v>-141891.89866666665</v>
      </c>
      <c r="V49" s="55">
        <f t="shared" si="11"/>
        <v>-141891.89866666665</v>
      </c>
      <c r="W49" s="55">
        <f t="shared" si="11"/>
        <v>-116611.82399999996</v>
      </c>
      <c r="X49" s="55">
        <f t="shared" si="11"/>
        <v>-116611.82399999996</v>
      </c>
      <c r="Y49" s="55">
        <f t="shared" si="11"/>
        <v>-93002.783999999985</v>
      </c>
      <c r="Z49" s="55">
        <f t="shared" si="11"/>
        <v>-93002.783999999985</v>
      </c>
      <c r="AA49" s="55">
        <f t="shared" si="11"/>
        <v>-93002.783999999985</v>
      </c>
      <c r="AB49" s="55">
        <f t="shared" si="11"/>
        <v>-93002.783999999985</v>
      </c>
      <c r="AC49" s="55">
        <f t="shared" si="11"/>
        <v>-69389.375999999989</v>
      </c>
      <c r="AD49" s="55">
        <f t="shared" si="11"/>
        <v>-69389.375999999989</v>
      </c>
      <c r="AE49" s="55">
        <f t="shared" si="11"/>
        <v>-69389.375999999989</v>
      </c>
      <c r="AF49" s="55">
        <f t="shared" si="11"/>
        <v>-45780.335999999996</v>
      </c>
      <c r="AG49" s="55">
        <f t="shared" si="11"/>
        <v>-45780.335999999996</v>
      </c>
      <c r="AH49" s="55">
        <f t="shared" si="11"/>
        <v>-45780.335999999996</v>
      </c>
      <c r="AI49" s="55">
        <f t="shared" si="11"/>
        <v>-45780.335999999996</v>
      </c>
      <c r="AJ49" s="55">
        <f t="shared" si="11"/>
        <v>-22171.295999999988</v>
      </c>
      <c r="AK49" s="55">
        <f t="shared" si="11"/>
        <v>-22171.295999999988</v>
      </c>
      <c r="AL49" s="55">
        <f t="shared" si="11"/>
        <v>1442.1120000000101</v>
      </c>
      <c r="AM49" s="55">
        <f t="shared" si="11"/>
        <v>1442.1120000000101</v>
      </c>
      <c r="AN49" s="55">
        <f t="shared" si="11"/>
        <v>21301.152000000009</v>
      </c>
      <c r="AO49" s="55">
        <f t="shared" si="11"/>
        <v>-719156.75477809575</v>
      </c>
      <c r="AP49" s="55">
        <f t="shared" si="11"/>
        <v>-390126.75477809575</v>
      </c>
      <c r="AQ49" s="55">
        <f t="shared" si="11"/>
        <v>-1134558.6215722063</v>
      </c>
      <c r="AR49" s="55">
        <f t="shared" si="11"/>
        <v>-465058.75477809575</v>
      </c>
      <c r="AS49" s="55">
        <f t="shared" si="11"/>
        <v>335387.46666666667</v>
      </c>
      <c r="AT49" s="55">
        <f t="shared" si="11"/>
        <v>247046.66666666666</v>
      </c>
      <c r="AU49" s="56">
        <f>SUM(C49:AT49)</f>
        <v>-3294169.0192398266</v>
      </c>
    </row>
    <row r="50" spans="1:47" ht="18" customHeight="1" x14ac:dyDescent="0.25">
      <c r="A50" s="35" t="s">
        <v>196</v>
      </c>
      <c r="B50" s="32" t="s">
        <v>153</v>
      </c>
      <c r="C50" s="57">
        <f>C49</f>
        <v>-566723.33333333337</v>
      </c>
      <c r="D50" s="57">
        <f t="shared" ref="D50:AT50" si="12">C50+D49</f>
        <v>-615946.66666666674</v>
      </c>
      <c r="E50" s="57">
        <f t="shared" si="12"/>
        <v>-654170.00000000012</v>
      </c>
      <c r="F50" s="57">
        <f t="shared" si="12"/>
        <v>-688893.33333333349</v>
      </c>
      <c r="G50" s="57">
        <f t="shared" si="12"/>
        <v>-772366.66666666686</v>
      </c>
      <c r="H50" s="57">
        <f t="shared" si="12"/>
        <v>-807090.00000000023</v>
      </c>
      <c r="I50" s="57">
        <f t="shared" si="12"/>
        <v>-841813.3333333336</v>
      </c>
      <c r="J50" s="57">
        <f t="shared" si="12"/>
        <v>-876536.66666666698</v>
      </c>
      <c r="K50" s="57">
        <f t="shared" si="12"/>
        <v>1079224.2186666664</v>
      </c>
      <c r="L50" s="57">
        <f t="shared" si="12"/>
        <v>1078999.6639999999</v>
      </c>
      <c r="M50" s="57">
        <f t="shared" si="12"/>
        <v>1055161.7013333333</v>
      </c>
      <c r="N50" s="57">
        <f t="shared" si="12"/>
        <v>984105.6586666666</v>
      </c>
      <c r="O50" s="57">
        <f t="shared" si="12"/>
        <v>889436.20799999998</v>
      </c>
      <c r="P50" s="57">
        <f t="shared" si="12"/>
        <v>771157.71733333333</v>
      </c>
      <c r="Q50" s="57">
        <f t="shared" si="12"/>
        <v>629265.81866666675</v>
      </c>
      <c r="R50" s="57">
        <f t="shared" si="12"/>
        <v>463764.88000000012</v>
      </c>
      <c r="S50" s="57">
        <f t="shared" si="12"/>
        <v>298263.9413333335</v>
      </c>
      <c r="T50" s="57">
        <f t="shared" si="12"/>
        <v>132763.00266666684</v>
      </c>
      <c r="U50" s="57">
        <f t="shared" si="12"/>
        <v>-9128.8959999998042</v>
      </c>
      <c r="V50" s="57">
        <f t="shared" si="12"/>
        <v>-151020.79466666645</v>
      </c>
      <c r="W50" s="57">
        <f t="shared" si="12"/>
        <v>-267632.61866666644</v>
      </c>
      <c r="X50" s="57">
        <f t="shared" si="12"/>
        <v>-384244.44266666641</v>
      </c>
      <c r="Y50" s="57">
        <f t="shared" si="12"/>
        <v>-477247.22666666639</v>
      </c>
      <c r="Z50" s="57">
        <f t="shared" si="12"/>
        <v>-570250.01066666632</v>
      </c>
      <c r="AA50" s="57">
        <f t="shared" si="12"/>
        <v>-663252.7946666663</v>
      </c>
      <c r="AB50" s="57">
        <f t="shared" si="12"/>
        <v>-756255.57866666629</v>
      </c>
      <c r="AC50" s="57">
        <f t="shared" si="12"/>
        <v>-825644.95466666622</v>
      </c>
      <c r="AD50" s="57">
        <f t="shared" si="12"/>
        <v>-895034.33066666615</v>
      </c>
      <c r="AE50" s="57">
        <f t="shared" si="12"/>
        <v>-964423.70666666608</v>
      </c>
      <c r="AF50" s="57">
        <f t="shared" si="12"/>
        <v>-1010204.0426666661</v>
      </c>
      <c r="AG50" s="57">
        <f t="shared" si="12"/>
        <v>-1055984.3786666661</v>
      </c>
      <c r="AH50" s="57">
        <f t="shared" si="12"/>
        <v>-1101764.714666666</v>
      </c>
      <c r="AI50" s="57">
        <f t="shared" si="12"/>
        <v>-1147545.0506666659</v>
      </c>
      <c r="AJ50" s="57">
        <f t="shared" si="12"/>
        <v>-1169716.346666666</v>
      </c>
      <c r="AK50" s="57">
        <f t="shared" si="12"/>
        <v>-1191887.6426666661</v>
      </c>
      <c r="AL50" s="57">
        <f t="shared" si="12"/>
        <v>-1190445.5306666661</v>
      </c>
      <c r="AM50" s="57">
        <f t="shared" si="12"/>
        <v>-1189003.4186666661</v>
      </c>
      <c r="AN50" s="57">
        <f t="shared" si="12"/>
        <v>-1167702.2666666661</v>
      </c>
      <c r="AO50" s="57">
        <f t="shared" si="12"/>
        <v>-1886859.0214447619</v>
      </c>
      <c r="AP50" s="57">
        <f t="shared" si="12"/>
        <v>-2276985.7762228576</v>
      </c>
      <c r="AQ50" s="57">
        <f t="shared" si="12"/>
        <v>-3411544.3977950639</v>
      </c>
      <c r="AR50" s="57">
        <f t="shared" si="12"/>
        <v>-3876603.1525731599</v>
      </c>
      <c r="AS50" s="57">
        <f t="shared" si="12"/>
        <v>-3541215.6859064931</v>
      </c>
      <c r="AT50" s="57">
        <f t="shared" si="12"/>
        <v>-3294169.0192398266</v>
      </c>
      <c r="AU50" s="58">
        <f>AT50</f>
        <v>-3294169.0192398266</v>
      </c>
    </row>
  </sheetData>
  <mergeCells count="9">
    <mergeCell ref="A26:B26"/>
    <mergeCell ref="A33:B33"/>
    <mergeCell ref="A40:B40"/>
    <mergeCell ref="A48:B48"/>
    <mergeCell ref="A1:AU1"/>
    <mergeCell ref="A2:AU2"/>
    <mergeCell ref="A5:B5"/>
    <mergeCell ref="A14:B14"/>
    <mergeCell ref="A19:B1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8"/>
  <sheetViews>
    <sheetView zoomScaleNormal="100" workbookViewId="0">
      <selection activeCell="G18" sqref="G18"/>
    </sheetView>
  </sheetViews>
  <sheetFormatPr baseColWidth="10" defaultColWidth="8.7109375" defaultRowHeight="15" x14ac:dyDescent="0.25"/>
  <cols>
    <col min="1" max="1" width="51.140625" bestFit="1" customWidth="1"/>
    <col min="2" max="4" width="22" customWidth="1"/>
  </cols>
  <sheetData>
    <row r="1" spans="1:4" ht="27.75" customHeight="1" x14ac:dyDescent="0.25">
      <c r="A1" s="14" t="s">
        <v>197</v>
      </c>
      <c r="B1" s="14"/>
      <c r="C1" s="14"/>
      <c r="D1" s="14"/>
    </row>
    <row r="2" spans="1:4" ht="15.75" customHeight="1" x14ac:dyDescent="0.25">
      <c r="A2" s="11" t="s">
        <v>198</v>
      </c>
      <c r="B2" s="11"/>
      <c r="C2" s="11"/>
      <c r="D2" s="11"/>
    </row>
    <row r="4" spans="1:4" ht="19.5" customHeight="1" x14ac:dyDescent="0.25">
      <c r="A4" s="6" t="s">
        <v>199</v>
      </c>
      <c r="B4" s="6"/>
      <c r="C4" s="6"/>
      <c r="D4" s="6"/>
    </row>
    <row r="5" spans="1:4" ht="18" customHeight="1" x14ac:dyDescent="0.25">
      <c r="A5" s="15" t="s">
        <v>200</v>
      </c>
      <c r="B5" s="5">
        <f>Supuestos!B9</f>
        <v>80</v>
      </c>
      <c r="C5" s="5"/>
      <c r="D5" s="5"/>
    </row>
    <row r="6" spans="1:4" ht="18" customHeight="1" x14ac:dyDescent="0.25">
      <c r="A6" s="15" t="s">
        <v>201</v>
      </c>
      <c r="B6" s="5">
        <f>Supuestos!B11</f>
        <v>5200</v>
      </c>
      <c r="C6" s="5"/>
      <c r="D6" s="5"/>
    </row>
    <row r="7" spans="1:4" ht="18" customHeight="1" x14ac:dyDescent="0.25">
      <c r="A7" s="15" t="s">
        <v>202</v>
      </c>
      <c r="B7" s="5">
        <f>(Supuestos!B34*Supuestos!B37+Supuestos!B35*Supuestos!B38+Supuestos!B36*Supuestos!B39)/(Supuestos!B37+Supuestos!B38+Supuestos!B39)</f>
        <v>2210</v>
      </c>
      <c r="C7" s="5"/>
      <c r="D7" s="5"/>
    </row>
    <row r="8" spans="1:4" ht="18" customHeight="1" x14ac:dyDescent="0.25">
      <c r="A8" s="59" t="s">
        <v>203</v>
      </c>
      <c r="B8" s="4">
        <f>'Flujo de Fondos'!AU13</f>
        <v>5532914.4000000022</v>
      </c>
      <c r="C8" s="4"/>
      <c r="D8" s="4"/>
    </row>
    <row r="10" spans="1:4" ht="19.5" customHeight="1" x14ac:dyDescent="0.25">
      <c r="A10" s="9" t="s">
        <v>204</v>
      </c>
      <c r="B10" s="9"/>
      <c r="C10" s="9"/>
      <c r="D10" s="9"/>
    </row>
    <row r="11" spans="1:4" ht="18" customHeight="1" x14ac:dyDescent="0.25">
      <c r="A11" s="15" t="s">
        <v>205</v>
      </c>
      <c r="B11" s="3">
        <f>Supuestos!B14</f>
        <v>500000</v>
      </c>
      <c r="C11" s="3"/>
      <c r="D11" s="3"/>
    </row>
    <row r="12" spans="1:4" ht="18" customHeight="1" x14ac:dyDescent="0.25">
      <c r="A12" s="15" t="s">
        <v>206</v>
      </c>
      <c r="B12" s="3">
        <f>Supuestos!B20</f>
        <v>3900000</v>
      </c>
      <c r="C12" s="3"/>
      <c r="D12" s="3"/>
    </row>
    <row r="13" spans="1:4" ht="18" customHeight="1" x14ac:dyDescent="0.25">
      <c r="A13" s="15" t="s">
        <v>207</v>
      </c>
      <c r="B13" s="3">
        <f>Supuestos!B20*(Supuestos!B21+Supuestos!B22+Supuestos!B23)</f>
        <v>487500</v>
      </c>
      <c r="C13" s="3"/>
      <c r="D13" s="3"/>
    </row>
    <row r="14" spans="1:4" ht="18" customHeight="1" x14ac:dyDescent="0.25">
      <c r="A14" s="15" t="s">
        <v>208</v>
      </c>
      <c r="B14" s="3">
        <f>Supuestos!B20*Supuestos!B24</f>
        <v>468000</v>
      </c>
      <c r="C14" s="3"/>
      <c r="D14" s="3"/>
    </row>
    <row r="15" spans="1:4" ht="18" customHeight="1" x14ac:dyDescent="0.25">
      <c r="A15" s="15" t="s">
        <v>209</v>
      </c>
      <c r="B15" s="3">
        <f>'Flujo de Fondos'!AU32</f>
        <v>-612663.99999999977</v>
      </c>
      <c r="C15" s="3"/>
      <c r="D15" s="3"/>
    </row>
    <row r="16" spans="1:4" ht="18" customHeight="1" x14ac:dyDescent="0.25">
      <c r="A16" s="15" t="s">
        <v>210</v>
      </c>
      <c r="B16" s="3">
        <f>'Flujo de Fondos'!AU39</f>
        <v>-855202.66666666686</v>
      </c>
      <c r="C16" s="3"/>
      <c r="D16" s="3"/>
    </row>
    <row r="17" spans="1:4" ht="18" customHeight="1" x14ac:dyDescent="0.25">
      <c r="A17" s="59" t="s">
        <v>211</v>
      </c>
      <c r="B17" s="2">
        <f>'Flujo de Fondos'!AU46</f>
        <v>-1996216.75257316</v>
      </c>
      <c r="C17" s="2"/>
      <c r="D17" s="2"/>
    </row>
    <row r="19" spans="1:4" ht="19.5" customHeight="1" x14ac:dyDescent="0.25">
      <c r="A19" s="8" t="s">
        <v>212</v>
      </c>
      <c r="B19" s="8"/>
      <c r="C19" s="8"/>
      <c r="D19" s="8"/>
    </row>
    <row r="20" spans="1:4" ht="18" customHeight="1" x14ac:dyDescent="0.25">
      <c r="A20" s="15" t="s">
        <v>213</v>
      </c>
      <c r="B20" s="5">
        <f>Supuestos!B14</f>
        <v>500000</v>
      </c>
      <c r="C20" s="5"/>
      <c r="D20" s="5"/>
    </row>
    <row r="21" spans="1:4" ht="18" customHeight="1" x14ac:dyDescent="0.25">
      <c r="A21" s="15" t="s">
        <v>214</v>
      </c>
      <c r="B21" s="5">
        <f>Supuestos!B20*Supuestos!B28</f>
        <v>1950000</v>
      </c>
      <c r="C21" s="5"/>
      <c r="D21" s="5"/>
    </row>
    <row r="22" spans="1:4" ht="18" customHeight="1" x14ac:dyDescent="0.25">
      <c r="A22" s="59" t="s">
        <v>215</v>
      </c>
      <c r="B22" s="4">
        <f>Supuestos!B14+Supuestos!B20*Supuestos!B28</f>
        <v>2450000</v>
      </c>
      <c r="C22" s="4"/>
      <c r="D22" s="4"/>
    </row>
    <row r="23" spans="1:4" ht="18" customHeight="1" x14ac:dyDescent="0.25">
      <c r="A23" s="15" t="s">
        <v>216</v>
      </c>
      <c r="B23" s="5">
        <f>'Flujo de Fondos'!AU6+'Flujo de Fondos'!AU7</f>
        <v>2667600</v>
      </c>
      <c r="C23" s="5"/>
      <c r="D23" s="5"/>
    </row>
    <row r="24" spans="1:4" ht="18" customHeight="1" x14ac:dyDescent="0.25">
      <c r="A24" s="15" t="s">
        <v>217</v>
      </c>
      <c r="B24" s="5">
        <f>ABS('Flujo de Fondos'!AU18)-Supuestos!B14</f>
        <v>7500</v>
      </c>
      <c r="C24" s="5"/>
      <c r="D24" s="5"/>
    </row>
    <row r="26" spans="1:4" ht="19.5" customHeight="1" x14ac:dyDescent="0.25">
      <c r="A26" s="10" t="s">
        <v>218</v>
      </c>
      <c r="B26" s="10"/>
      <c r="C26" s="10"/>
      <c r="D26" s="10"/>
    </row>
    <row r="27" spans="1:4" ht="18" customHeight="1" x14ac:dyDescent="0.25">
      <c r="A27" s="59" t="s">
        <v>219</v>
      </c>
      <c r="B27" s="1">
        <f>'Flujo de Fondos'!AU49</f>
        <v>-3294169.0192398266</v>
      </c>
      <c r="C27" s="1"/>
      <c r="D27" s="1"/>
    </row>
    <row r="28" spans="1:4" ht="18" customHeight="1" x14ac:dyDescent="0.25">
      <c r="A28" s="59" t="s">
        <v>220</v>
      </c>
      <c r="B28" s="60">
        <f>'Flujo de Fondos'!AU49/'Flujo de Fondos'!AU13</f>
        <v>-0.59537682694672178</v>
      </c>
      <c r="C28" s="60"/>
      <c r="D28" s="60"/>
    </row>
    <row r="29" spans="1:4" ht="18" customHeight="1" x14ac:dyDescent="0.25">
      <c r="A29" s="15" t="s">
        <v>221</v>
      </c>
      <c r="B29" s="5">
        <f>-'Flujo de Fondos'!AU41-'Flujo de Fondos'!AU42</f>
        <v>744431.86679411074</v>
      </c>
      <c r="C29" s="5"/>
      <c r="D29" s="5"/>
    </row>
    <row r="30" spans="1:4" ht="18" customHeight="1" x14ac:dyDescent="0.25">
      <c r="A30" s="15" t="s">
        <v>222</v>
      </c>
      <c r="B30" s="5">
        <f>'Flujo de Fondos'!AU43-'Flujo de Fondos'!AU44-'Flujo de Fondos'!AU45</f>
        <v>5151784.8857790492</v>
      </c>
      <c r="C30" s="5"/>
      <c r="D30" s="5"/>
    </row>
    <row r="31" spans="1:4" ht="18" customHeight="1" x14ac:dyDescent="0.25">
      <c r="A31" s="59" t="s">
        <v>223</v>
      </c>
      <c r="B31" s="61">
        <f>'Flujo de Fondos'!AU49-'Flujo de Fondos'!AU42-'Flujo de Fondos'!AU45</f>
        <v>-1797952.2666666661</v>
      </c>
      <c r="C31" s="61"/>
      <c r="D31" s="61"/>
    </row>
    <row r="33" spans="1:4" ht="19.5" customHeight="1" x14ac:dyDescent="0.25">
      <c r="A33" s="7" t="s">
        <v>224</v>
      </c>
      <c r="B33" s="7"/>
      <c r="C33" s="7"/>
      <c r="D33" s="7"/>
    </row>
    <row r="34" spans="1:4" ht="18" customHeight="1" x14ac:dyDescent="0.25">
      <c r="A34" s="15" t="s">
        <v>225</v>
      </c>
      <c r="B34" s="5">
        <f>Supuestos!B5</f>
        <v>1</v>
      </c>
      <c r="C34" s="5"/>
      <c r="D34" s="5"/>
    </row>
    <row r="35" spans="1:4" ht="18" customHeight="1" x14ac:dyDescent="0.25">
      <c r="A35" s="15" t="s">
        <v>226</v>
      </c>
      <c r="B35" s="5">
        <f>Supuestos!B6</f>
        <v>9</v>
      </c>
      <c r="C35" s="5"/>
      <c r="D35" s="5"/>
    </row>
    <row r="36" spans="1:4" ht="18" customHeight="1" x14ac:dyDescent="0.25">
      <c r="A36" s="15" t="s">
        <v>7</v>
      </c>
      <c r="B36" s="5">
        <f>Supuestos!B7</f>
        <v>30</v>
      </c>
      <c r="C36" s="5"/>
      <c r="D36" s="5"/>
    </row>
    <row r="37" spans="1:4" ht="18" customHeight="1" x14ac:dyDescent="0.25">
      <c r="A37" s="15" t="s">
        <v>227</v>
      </c>
      <c r="B37" s="5">
        <f>Supuestos!B8</f>
        <v>42</v>
      </c>
      <c r="C37" s="5"/>
      <c r="D37" s="5"/>
    </row>
    <row r="38" spans="1:4" ht="18" customHeight="1" x14ac:dyDescent="0.25">
      <c r="A38" s="59" t="s">
        <v>228</v>
      </c>
      <c r="B38" s="4">
        <f>Supuestos!B8</f>
        <v>42</v>
      </c>
      <c r="C38" s="4"/>
      <c r="D38" s="4"/>
    </row>
  </sheetData>
  <mergeCells count="33">
    <mergeCell ref="B36:D36"/>
    <mergeCell ref="B37:D37"/>
    <mergeCell ref="B38:D38"/>
    <mergeCell ref="B30:D30"/>
    <mergeCell ref="B31:D31"/>
    <mergeCell ref="A33:D33"/>
    <mergeCell ref="B34:D34"/>
    <mergeCell ref="B35:D35"/>
    <mergeCell ref="B24:D24"/>
    <mergeCell ref="A26:D26"/>
    <mergeCell ref="B27:D27"/>
    <mergeCell ref="B28:D28"/>
    <mergeCell ref="B29:D29"/>
    <mergeCell ref="A19:D19"/>
    <mergeCell ref="B20:D20"/>
    <mergeCell ref="B21:D21"/>
    <mergeCell ref="B22:D22"/>
    <mergeCell ref="B23:D23"/>
    <mergeCell ref="B13:D13"/>
    <mergeCell ref="B14:D14"/>
    <mergeCell ref="B15:D15"/>
    <mergeCell ref="B16:D16"/>
    <mergeCell ref="B17:D17"/>
    <mergeCell ref="B7:D7"/>
    <mergeCell ref="B8:D8"/>
    <mergeCell ref="A10:D10"/>
    <mergeCell ref="B11:D11"/>
    <mergeCell ref="B12:D12"/>
    <mergeCell ref="A1:D1"/>
    <mergeCell ref="A2:D2"/>
    <mergeCell ref="A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Supuestos</vt:lpstr>
      <vt:lpstr>Flujo de Fondos</vt:lpstr>
      <vt:lpstr>Resumen Ejecutivo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Juan Josè Castillo</cp:lastModifiedBy>
  <cp:revision>0</cp:revision>
  <dcterms:created xsi:type="dcterms:W3CDTF">2026-05-02T20:23:57Z</dcterms:created>
  <dcterms:modified xsi:type="dcterms:W3CDTF">2026-08-13T13:35:38Z</dcterms:modified>
  <dc:language>en-US</dc:language>
</cp:coreProperties>
</file>