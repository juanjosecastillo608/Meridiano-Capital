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111\DESARROLLADORA INMOB CMC\"/>
    </mc:Choice>
  </mc:AlternateContent>
  <xr:revisionPtr revIDLastSave="0" documentId="8_{A00D2262-CCFC-43EC-8716-B83A7348C1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_1-2-3" sheetId="1" r:id="rId1"/>
    <sheet name="Hoja1" sheetId="6" r:id="rId2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jKtmqYqZvRELy6le+tvjjPOo4YtA=="/>
    </ext>
  </extLst>
</workbook>
</file>

<file path=xl/calcChain.xml><?xml version="1.0" encoding="utf-8"?>
<calcChain xmlns="http://schemas.openxmlformats.org/spreadsheetml/2006/main">
  <c r="E12" i="6" l="1"/>
  <c r="E9" i="6"/>
  <c r="B18" i="6" l="1"/>
  <c r="B16" i="6"/>
</calcChain>
</file>

<file path=xl/sharedStrings.xml><?xml version="1.0" encoding="utf-8"?>
<sst xmlns="http://schemas.openxmlformats.org/spreadsheetml/2006/main" count="111" uniqueCount="83">
  <si>
    <t xml:space="preserve">   PLANILLA DE INDICADORES URBANISTICOS DE LA CIUDAD DE ASUNCION                                                                                              Ordenanza N° 43/1994 Plan Regulador y sus Modificaciones</t>
  </si>
  <si>
    <t>ZONAS</t>
  </si>
  <si>
    <t>USOS</t>
  </si>
  <si>
    <t>INDICADORES URBANISTICOS</t>
  </si>
  <si>
    <t>RETIROS</t>
  </si>
  <si>
    <t>Ordenanzas Relacionadas</t>
  </si>
  <si>
    <t>AREAS RESIDENCIALES</t>
  </si>
  <si>
    <t>PERMITIDOS</t>
  </si>
  <si>
    <t>CONDICIONADOS</t>
  </si>
  <si>
    <t>COMPLEMENTARIOS</t>
  </si>
  <si>
    <t>CONDICIONES DE USO</t>
  </si>
  <si>
    <t>DENSIDAD Hab/ha(1)</t>
  </si>
  <si>
    <t>COEF. DE EDIFICABILIDAD</t>
  </si>
  <si>
    <t>TASA DE OCUP. MAXIMA (2)</t>
  </si>
  <si>
    <t>ALTURA MAXIMA</t>
  </si>
  <si>
    <t>Frente</t>
  </si>
  <si>
    <t>Lateral</t>
  </si>
  <si>
    <t>Fondo</t>
  </si>
  <si>
    <t>AR1-A</t>
  </si>
  <si>
    <t>VU; VB; CH</t>
  </si>
  <si>
    <t>VM; Apart Hotel y otros</t>
  </si>
  <si>
    <t>----------------------------</t>
  </si>
  <si>
    <t>--------</t>
  </si>
  <si>
    <t>250 hab./Há</t>
  </si>
  <si>
    <t>Hasta 60% de la sup. Del terreno</t>
  </si>
  <si>
    <t>3 plantas o 9 m (2)</t>
  </si>
  <si>
    <t>s/ Calle: 3 m s/ Av.: 6 m y s/ Cap. Red Vial</t>
  </si>
  <si>
    <t>Ver Ord. 386/09</t>
  </si>
  <si>
    <t xml:space="preserve"> Ord. N° : 241/05 – 53/02 – 332/06 – 181/04</t>
  </si>
  <si>
    <t>AR1-B</t>
  </si>
  <si>
    <t>VM; Apart Hotel y otros; ver Anexo 1 y Ord 53/02</t>
  </si>
  <si>
    <t>---------------------------</t>
  </si>
  <si>
    <t>---------</t>
  </si>
  <si>
    <t>AR2-A</t>
  </si>
  <si>
    <t>VU; VM; BM; CH</t>
  </si>
  <si>
    <t>Apart Hotel y otros;  CS 1 - 2; EQ 1; I1 P</t>
  </si>
  <si>
    <r>
      <t>Tamaño Max Unidad Uso =100 m</t>
    </r>
    <r>
      <rPr>
        <sz val="9"/>
        <color rgb="FF000000"/>
        <rFont val="Arial"/>
      </rPr>
      <t>2</t>
    </r>
    <r>
      <rPr>
        <sz val="9"/>
        <color rgb="FF000000"/>
        <rFont val="Arial"/>
      </rPr>
      <t xml:space="preserve">      Limite de utilizacion del terreno: 1 local x Sup. Terreno (12x30), y solo en PB</t>
    </r>
  </si>
  <si>
    <t>600 hab./Há</t>
  </si>
  <si>
    <t>VU: 65%             VM - CH: 60 %</t>
  </si>
  <si>
    <t>4 plantas  o 12 m</t>
  </si>
  <si>
    <t>s/ Calle: 3 m s/ Av.: 6 m y s/ Cap. Red Vial (4)</t>
  </si>
  <si>
    <t>Ord. N° 241/05 – Ord.332/06 – 181/04</t>
  </si>
  <si>
    <t>AR2-B</t>
  </si>
  <si>
    <t>Apart Hotel y otros; CS1 - 2; EQ 1; I1 P</t>
  </si>
  <si>
    <r>
      <t>Tamaño Max Unidad Uso =100 m</t>
    </r>
    <r>
      <rPr>
        <sz val="9"/>
        <color rgb="FF000000"/>
        <rFont val="Arial"/>
      </rPr>
      <t>2</t>
    </r>
    <r>
      <rPr>
        <sz val="9"/>
        <color rgb="FF000000"/>
        <rFont val="Arial"/>
      </rPr>
      <t xml:space="preserve">      Limite de utilizacion del terreno: 1 local x Sup. Terreno (12x30), y solo en PB</t>
    </r>
  </si>
  <si>
    <t>VU: 70%        VM - CH: 65%</t>
  </si>
  <si>
    <t>5 plantas  o 15 m</t>
  </si>
  <si>
    <t>s/ Calle: 3 m  s/ Av.: 6 m y   s/ Cap. Red Vial (4)</t>
  </si>
  <si>
    <t>Ord.N° 241/05 – 332/06-181/04</t>
  </si>
  <si>
    <t>AR3-A</t>
  </si>
  <si>
    <t>Apart Hotel y otros; CS1 - 2; CS 3; EQ 1 - 2; I1 P; D1 - D2</t>
  </si>
  <si>
    <r>
      <rPr>
        <b/>
        <u/>
        <sz val="9"/>
        <color rgb="FF000000"/>
        <rFont val="Arial"/>
      </rPr>
      <t>Ind</t>
    </r>
    <r>
      <rPr>
        <b/>
        <sz val="9"/>
        <color rgb="FF000000"/>
        <rFont val="Arial"/>
      </rPr>
      <t xml:space="preserve">.: </t>
    </r>
    <r>
      <rPr>
        <sz val="9"/>
        <color rgb="FF000000"/>
        <rFont val="Arial"/>
      </rPr>
      <t xml:space="preserve">1 local x frente mín.  (12 m) </t>
    </r>
    <r>
      <rPr>
        <b/>
        <u/>
        <sz val="9"/>
        <color rgb="FF000000"/>
        <rFont val="Arial"/>
      </rPr>
      <t>C/S</t>
    </r>
    <r>
      <rPr>
        <b/>
        <sz val="9"/>
        <color rgb="FF000000"/>
        <rFont val="Arial"/>
      </rPr>
      <t>:</t>
    </r>
    <r>
      <rPr>
        <sz val="9"/>
        <color rgb="FF000000"/>
        <rFont val="Arial"/>
      </rPr>
      <t xml:space="preserve"> Limite de utilización del terreno: PB, Entrepiso y 1er piso </t>
    </r>
    <r>
      <rPr>
        <b/>
        <u/>
        <sz val="9"/>
        <color rgb="FF000000"/>
        <rFont val="Arial"/>
      </rPr>
      <t>Dep</t>
    </r>
    <r>
      <rPr>
        <b/>
        <sz val="9"/>
        <color rgb="FF000000"/>
        <rFont val="Arial"/>
      </rPr>
      <t>.:</t>
    </r>
    <r>
      <rPr>
        <sz val="9"/>
        <color rgb="FF000000"/>
        <rFont val="Arial"/>
      </rPr>
      <t xml:space="preserve"> hasta 10% AE</t>
    </r>
  </si>
  <si>
    <t>1.000 hab./Há</t>
  </si>
  <si>
    <t xml:space="preserve">VU: 75% AE VM - CH: 65% </t>
  </si>
  <si>
    <t xml:space="preserve">s/ Calle: 3 m     s/ Av.: 6 m y  s/ Cap. Red Vial (5)      </t>
  </si>
  <si>
    <t>AR3-B</t>
  </si>
  <si>
    <t>Apart Hotel y otros;   CS 1 - 2 - 3; EQ1 - 2; I1 P; D1 - 2 - 3</t>
  </si>
  <si>
    <r>
      <rPr>
        <b/>
        <u/>
        <sz val="9"/>
        <color rgb="FF000000"/>
        <rFont val="Arial"/>
      </rPr>
      <t>Ind</t>
    </r>
    <r>
      <rPr>
        <b/>
        <sz val="9"/>
        <color rgb="FF000000"/>
        <rFont val="Arial"/>
      </rPr>
      <t xml:space="preserve">.: </t>
    </r>
    <r>
      <rPr>
        <sz val="9"/>
        <color rgb="FF000000"/>
        <rFont val="Arial"/>
      </rPr>
      <t xml:space="preserve">1 local x frente mín.  (12 m) </t>
    </r>
    <r>
      <rPr>
        <b/>
        <u/>
        <sz val="9"/>
        <color rgb="FF000000"/>
        <rFont val="Arial"/>
      </rPr>
      <t>C/S</t>
    </r>
    <r>
      <rPr>
        <b/>
        <sz val="9"/>
        <color rgb="FF000000"/>
        <rFont val="Arial"/>
      </rPr>
      <t>:</t>
    </r>
    <r>
      <rPr>
        <sz val="9"/>
        <color rgb="FF000000"/>
        <rFont val="Arial"/>
      </rPr>
      <t xml:space="preserve"> Limite de utilización del terreno: PB, Entrepiso y 1er piso </t>
    </r>
    <r>
      <rPr>
        <b/>
        <u/>
        <sz val="9"/>
        <color rgb="FF000000"/>
        <rFont val="Arial"/>
      </rPr>
      <t>Dep</t>
    </r>
    <r>
      <rPr>
        <b/>
        <sz val="9"/>
        <color rgb="FF000000"/>
        <rFont val="Arial"/>
      </rPr>
      <t>.:</t>
    </r>
    <r>
      <rPr>
        <sz val="9"/>
        <color rgb="FF000000"/>
        <rFont val="Arial"/>
      </rPr>
      <t xml:space="preserve"> hasta 10% AE</t>
    </r>
  </si>
  <si>
    <t>VU: 75%     VM-CH;75%</t>
  </si>
  <si>
    <t xml:space="preserve"> 7 plantas   o 21 m</t>
  </si>
  <si>
    <t xml:space="preserve">s/ Calle: 3 m s/ Av.: 6 m y      s/ Cap. Red Vial (5)      </t>
  </si>
  <si>
    <t>Ord.N°241/05 – 332/06-181/04</t>
  </si>
  <si>
    <t>(1) Se admitirá un margen de hasta 20 % de tolerancia en el cálculo de densidades, s/ Ord. 241/05 art. 5° inc. a. y b.</t>
  </si>
  <si>
    <t>(2) Margen tolerancia 15 % en altura s/ Ord. 241/05 art. 8° inc. a. y b.</t>
  </si>
  <si>
    <t>(3) Margen de Tolerancia del 5% para TOM inferiores al 75% s/ Ord. 211/05</t>
  </si>
  <si>
    <t>(4) Edificios de hasta 2 niv. o 6 m de altura s/ la LM, excepto avenidas, calles colectoras o de penetración y calles que tengan una extensión mayor de 400,00 m.</t>
  </si>
  <si>
    <t>(5) Edificios de hasta 2 niv. o 6 m de altura s/ la LM, excepto avenidas, calles colectoras o de penetración y calles que tengan una extensión mayor de 800,00 m.</t>
  </si>
  <si>
    <t>DIRECCION:</t>
  </si>
  <si>
    <t>SUP. DEL TERRENO:</t>
  </si>
  <si>
    <t>Z/ REGULACION :</t>
  </si>
  <si>
    <t>COEFICIENTE DE EDIF.</t>
  </si>
  <si>
    <t>AREA EDIFICABLE:</t>
  </si>
  <si>
    <t xml:space="preserve">Nº DE PISOS </t>
  </si>
  <si>
    <t xml:space="preserve">AREA EDIFICABLE </t>
  </si>
  <si>
    <t>Nº DE PISOS EDIF.</t>
  </si>
  <si>
    <t xml:space="preserve">Cta.cte.catastral </t>
  </si>
  <si>
    <t>1023 m2</t>
  </si>
  <si>
    <t>AR1 A</t>
  </si>
  <si>
    <t>14-0668-01</t>
  </si>
  <si>
    <t>1023*1,5</t>
  </si>
  <si>
    <t>60% * 1023</t>
  </si>
  <si>
    <t>ESTUDIO DE ESDIFICABILIDAD PROPIEDADA YCUA SATI</t>
  </si>
  <si>
    <t xml:space="preserve">NICANOR TORALES &amp; BRUSELAS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</si>
</sst>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15">
    <font>
      <sz val="11"/>
      <color rgb="FF000000"/>
      <name val="Arial"/>
    </font>
    <font>
      <b/>
      <sz val="9"/>
      <color rgb="FF000000"/>
      <name val="Arial"/>
    </font>
    <font>
      <b/>
      <sz val="11"/>
      <color rgb="FF000000"/>
      <name val="Arial"/>
    </font>
    <font>
      <b/>
      <sz val="14"/>
      <color rgb="FF000000"/>
      <name val="Andalus"/>
    </font>
    <font>
      <sz val="11"/>
      <name val="Arial"/>
    </font>
    <font>
      <sz val="9"/>
      <color rgb="FF000000"/>
      <name val="Arial"/>
    </font>
    <font>
      <sz val="8"/>
      <color rgb="FF000000"/>
      <name val="Arial"/>
    </font>
    <font>
      <b/>
      <sz val="14"/>
      <color rgb="FF000000"/>
      <name val="Arial"/>
    </font>
    <font>
      <sz val="10"/>
      <color rgb="FF000000"/>
      <name val="Arial"/>
    </font>
    <font>
      <sz val="6"/>
      <color rgb="FF000000"/>
      <name val="Arial"/>
    </font>
    <font>
      <b/>
      <u/>
      <sz val="9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FCC99"/>
        <bgColor rgb="FFFFCC99"/>
      </patternFill>
    </fill>
    <fill>
      <patternFill patternType="solid">
        <fgColor rgb="FFFF9900"/>
        <bgColor rgb="FFFF9900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4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10" fontId="0" fillId="0" borderId="13" xfId="0" applyNumberForma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7" fillId="4" borderId="15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12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0" fontId="13" fillId="7" borderId="0" xfId="0" applyFont="1" applyFill="1"/>
    <xf numFmtId="164" fontId="0" fillId="0" borderId="29" xfId="1" applyFont="1" applyBorder="1" applyAlignment="1"/>
    <xf numFmtId="164" fontId="13" fillId="7" borderId="0" xfId="1" applyFont="1" applyFill="1" applyAlignment="1"/>
    <xf numFmtId="164" fontId="13" fillId="7" borderId="0" xfId="1" applyFont="1" applyFill="1" applyAlignment="1">
      <alignment horizontal="left"/>
    </xf>
    <xf numFmtId="0" fontId="8" fillId="0" borderId="20" xfId="0" applyFont="1" applyBorder="1" applyAlignment="1">
      <alignment horizontal="left" vertical="center"/>
    </xf>
    <xf numFmtId="0" fontId="4" fillId="0" borderId="21" xfId="0" applyFont="1" applyBorder="1"/>
    <xf numFmtId="0" fontId="4" fillId="0" borderId="22" xfId="0" applyFont="1" applyBorder="1"/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11" xfId="0" applyFont="1" applyBorder="1"/>
    <xf numFmtId="0" fontId="0" fillId="0" borderId="25" xfId="0" applyBorder="1"/>
    <xf numFmtId="0" fontId="4" fillId="0" borderId="26" xfId="0" applyFont="1" applyBorder="1"/>
    <xf numFmtId="0" fontId="4" fillId="0" borderId="27" xfId="0" applyFont="1" applyBorder="1"/>
    <xf numFmtId="0" fontId="0" fillId="0" borderId="23" xfId="0" applyBorder="1"/>
    <xf numFmtId="0" fontId="0" fillId="0" borderId="0" xfId="0"/>
    <xf numFmtId="0" fontId="4" fillId="0" borderId="24" xfId="0" applyFont="1" applyBorder="1"/>
    <xf numFmtId="49" fontId="8" fillId="0" borderId="23" xfId="0" applyNumberFormat="1" applyFont="1" applyBorder="1"/>
    <xf numFmtId="0" fontId="8" fillId="0" borderId="23" xfId="0" applyFont="1" applyBorder="1" applyAlignment="1">
      <alignment horizontal="left" vertical="center"/>
    </xf>
    <xf numFmtId="0" fontId="13" fillId="7" borderId="0" xfId="0" applyFont="1" applyFill="1" applyAlignment="1">
      <alignment horizontal="center"/>
    </xf>
    <xf numFmtId="0" fontId="12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28" xfId="0" applyFont="1" applyBorder="1" applyAlignment="1">
      <alignment horizont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selection activeCell="Q4" sqref="Q4"/>
    </sheetView>
  </sheetViews>
  <sheetFormatPr baseColWidth="10" defaultColWidth="12.625" defaultRowHeight="15" customHeight="1"/>
  <cols>
    <col min="1" max="1" width="3.25" customWidth="1"/>
    <col min="2" max="2" width="13.25" customWidth="1"/>
    <col min="3" max="3" width="11.125" customWidth="1"/>
    <col min="4" max="4" width="17.25" customWidth="1"/>
    <col min="5" max="5" width="10.75" hidden="1" customWidth="1"/>
    <col min="6" max="6" width="24.125" customWidth="1"/>
    <col min="7" max="7" width="8.125" customWidth="1"/>
    <col min="8" max="8" width="11" customWidth="1"/>
    <col min="9" max="9" width="12" customWidth="1"/>
    <col min="10" max="10" width="10" customWidth="1"/>
    <col min="11" max="11" width="10.125" customWidth="1"/>
    <col min="12" max="12" width="7.625" customWidth="1"/>
    <col min="13" max="13" width="8.375" customWidth="1"/>
    <col min="14" max="14" width="18.125" customWidth="1"/>
    <col min="15" max="15" width="0.875" customWidth="1"/>
    <col min="16" max="16" width="7.125" customWidth="1"/>
    <col min="17" max="17" width="11.625" customWidth="1"/>
    <col min="18" max="26" width="14.375" customWidth="1"/>
  </cols>
  <sheetData>
    <row r="1" spans="1:17" ht="8.25" customHeight="1">
      <c r="B1" s="1"/>
      <c r="G1" s="2"/>
      <c r="H1" s="2"/>
      <c r="I1" s="2"/>
      <c r="J1" s="2"/>
      <c r="K1" s="2"/>
      <c r="L1" s="2"/>
      <c r="M1" s="2"/>
    </row>
    <row r="2" spans="1:17" ht="42.75" customHeight="1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9"/>
    </row>
    <row r="3" spans="1:17" ht="25.5" customHeight="1">
      <c r="A3" s="2"/>
      <c r="B3" s="3" t="s">
        <v>1</v>
      </c>
      <c r="C3" s="50" t="s">
        <v>2</v>
      </c>
      <c r="D3" s="48"/>
      <c r="E3" s="48"/>
      <c r="F3" s="49"/>
      <c r="G3" s="51" t="s">
        <v>3</v>
      </c>
      <c r="H3" s="48"/>
      <c r="I3" s="48"/>
      <c r="J3" s="49"/>
      <c r="K3" s="51" t="s">
        <v>4</v>
      </c>
      <c r="L3" s="48"/>
      <c r="M3" s="49"/>
      <c r="N3" s="52" t="s">
        <v>5</v>
      </c>
      <c r="O3" s="2"/>
      <c r="P3" s="2"/>
      <c r="Q3" s="2"/>
    </row>
    <row r="4" spans="1:17" ht="25.5" customHeight="1">
      <c r="A4" s="2"/>
      <c r="B4" s="4" t="s">
        <v>6</v>
      </c>
      <c r="C4" s="5" t="s">
        <v>7</v>
      </c>
      <c r="D4" s="6" t="s">
        <v>8</v>
      </c>
      <c r="E4" s="6" t="s">
        <v>9</v>
      </c>
      <c r="F4" s="7" t="s">
        <v>10</v>
      </c>
      <c r="G4" s="8" t="s">
        <v>11</v>
      </c>
      <c r="H4" s="9" t="s">
        <v>12</v>
      </c>
      <c r="I4" s="9" t="s">
        <v>13</v>
      </c>
      <c r="J4" s="10" t="s">
        <v>14</v>
      </c>
      <c r="K4" s="5" t="s">
        <v>15</v>
      </c>
      <c r="L4" s="6" t="s">
        <v>16</v>
      </c>
      <c r="M4" s="7" t="s">
        <v>17</v>
      </c>
      <c r="N4" s="53"/>
      <c r="O4" s="2"/>
      <c r="P4" s="2"/>
      <c r="Q4" s="2"/>
    </row>
    <row r="5" spans="1:17" ht="3.75" customHeight="1">
      <c r="B5" s="1"/>
      <c r="G5" s="2"/>
      <c r="H5" s="2"/>
      <c r="I5" s="2"/>
      <c r="J5" s="2"/>
      <c r="K5" s="2"/>
      <c r="L5" s="2"/>
      <c r="M5" s="2"/>
    </row>
    <row r="6" spans="1:17" ht="56.25" customHeight="1">
      <c r="B6" s="11" t="s">
        <v>18</v>
      </c>
      <c r="C6" s="12" t="s">
        <v>19</v>
      </c>
      <c r="D6" s="12" t="s">
        <v>20</v>
      </c>
      <c r="E6" s="12" t="s">
        <v>21</v>
      </c>
      <c r="F6" s="12" t="s">
        <v>22</v>
      </c>
      <c r="G6" s="12" t="s">
        <v>23</v>
      </c>
      <c r="H6" s="12">
        <v>1.5</v>
      </c>
      <c r="I6" s="13" t="s">
        <v>24</v>
      </c>
      <c r="J6" s="14" t="s">
        <v>25</v>
      </c>
      <c r="K6" s="14" t="s">
        <v>26</v>
      </c>
      <c r="L6" s="14" t="s">
        <v>27</v>
      </c>
      <c r="M6" s="14" t="s">
        <v>27</v>
      </c>
      <c r="N6" s="15" t="s">
        <v>28</v>
      </c>
    </row>
    <row r="7" spans="1:17" ht="56.25" customHeight="1">
      <c r="B7" s="16" t="s">
        <v>29</v>
      </c>
      <c r="C7" s="17" t="s">
        <v>19</v>
      </c>
      <c r="D7" s="17" t="s">
        <v>30</v>
      </c>
      <c r="E7" s="17" t="s">
        <v>31</v>
      </c>
      <c r="F7" s="17" t="s">
        <v>32</v>
      </c>
      <c r="G7" s="17" t="s">
        <v>23</v>
      </c>
      <c r="H7" s="17">
        <v>1.5</v>
      </c>
      <c r="I7" s="19" t="s">
        <v>24</v>
      </c>
      <c r="J7" s="18" t="s">
        <v>25</v>
      </c>
      <c r="K7" s="21" t="s">
        <v>26</v>
      </c>
      <c r="L7" s="18" t="s">
        <v>27</v>
      </c>
      <c r="M7" s="18" t="s">
        <v>27</v>
      </c>
      <c r="N7" s="22" t="s">
        <v>28</v>
      </c>
      <c r="O7" s="23"/>
    </row>
    <row r="8" spans="1:17" ht="61.5" customHeight="1">
      <c r="B8" s="16" t="s">
        <v>33</v>
      </c>
      <c r="C8" s="17" t="s">
        <v>34</v>
      </c>
      <c r="D8" s="20" t="s">
        <v>35</v>
      </c>
      <c r="E8" s="17" t="s">
        <v>31</v>
      </c>
      <c r="F8" s="18" t="s">
        <v>36</v>
      </c>
      <c r="G8" s="17" t="s">
        <v>37</v>
      </c>
      <c r="H8" s="17">
        <v>2.4</v>
      </c>
      <c r="I8" s="20" t="s">
        <v>38</v>
      </c>
      <c r="J8" s="18" t="s">
        <v>39</v>
      </c>
      <c r="K8" s="18" t="s">
        <v>40</v>
      </c>
      <c r="L8" s="18" t="s">
        <v>27</v>
      </c>
      <c r="M8" s="18" t="s">
        <v>27</v>
      </c>
      <c r="N8" s="22" t="s">
        <v>41</v>
      </c>
    </row>
    <row r="9" spans="1:17" ht="64.5" customHeight="1">
      <c r="B9" s="25" t="s">
        <v>42</v>
      </c>
      <c r="C9" s="17" t="s">
        <v>34</v>
      </c>
      <c r="D9" s="20" t="s">
        <v>43</v>
      </c>
      <c r="E9" s="17" t="s">
        <v>31</v>
      </c>
      <c r="F9" s="18" t="s">
        <v>44</v>
      </c>
      <c r="G9" s="17" t="s">
        <v>37</v>
      </c>
      <c r="H9" s="17">
        <v>3.25</v>
      </c>
      <c r="I9" s="20" t="s">
        <v>45</v>
      </c>
      <c r="J9" s="18" t="s">
        <v>46</v>
      </c>
      <c r="K9" s="18" t="s">
        <v>47</v>
      </c>
      <c r="L9" s="18" t="s">
        <v>27</v>
      </c>
      <c r="M9" s="18" t="s">
        <v>27</v>
      </c>
      <c r="N9" s="22" t="s">
        <v>48</v>
      </c>
    </row>
    <row r="10" spans="1:17" ht="55.5" customHeight="1">
      <c r="B10" s="26" t="s">
        <v>49</v>
      </c>
      <c r="C10" s="17" t="s">
        <v>34</v>
      </c>
      <c r="D10" s="20" t="s">
        <v>50</v>
      </c>
      <c r="E10" s="17" t="s">
        <v>31</v>
      </c>
      <c r="F10" s="27" t="s">
        <v>51</v>
      </c>
      <c r="G10" s="28" t="s">
        <v>52</v>
      </c>
      <c r="H10" s="17">
        <v>3.25</v>
      </c>
      <c r="I10" s="20" t="s">
        <v>53</v>
      </c>
      <c r="J10" s="18" t="s">
        <v>46</v>
      </c>
      <c r="K10" s="18" t="s">
        <v>54</v>
      </c>
      <c r="L10" s="18" t="s">
        <v>27</v>
      </c>
      <c r="M10" s="18" t="s">
        <v>27</v>
      </c>
      <c r="N10" s="22" t="s">
        <v>48</v>
      </c>
    </row>
    <row r="11" spans="1:17" ht="57.75" customHeight="1">
      <c r="B11" s="29" t="s">
        <v>55</v>
      </c>
      <c r="C11" s="30" t="s">
        <v>34</v>
      </c>
      <c r="D11" s="31" t="s">
        <v>56</v>
      </c>
      <c r="E11" s="30" t="s">
        <v>31</v>
      </c>
      <c r="F11" s="27" t="s">
        <v>57</v>
      </c>
      <c r="G11" s="32" t="s">
        <v>52</v>
      </c>
      <c r="H11" s="30">
        <v>5.25</v>
      </c>
      <c r="I11" s="30" t="s">
        <v>58</v>
      </c>
      <c r="J11" s="33" t="s">
        <v>59</v>
      </c>
      <c r="K11" s="33" t="s">
        <v>60</v>
      </c>
      <c r="L11" s="33" t="s">
        <v>27</v>
      </c>
      <c r="M11" s="33" t="s">
        <v>27</v>
      </c>
      <c r="N11" s="34" t="s">
        <v>61</v>
      </c>
    </row>
    <row r="12" spans="1:17" ht="14.25" customHeight="1">
      <c r="A12" s="35"/>
      <c r="B12" s="35"/>
      <c r="C12" s="35"/>
      <c r="D12" s="36"/>
      <c r="E12" s="35"/>
      <c r="F12" s="35"/>
      <c r="G12" s="36"/>
      <c r="H12" s="36"/>
      <c r="I12" s="36"/>
      <c r="J12" s="36"/>
      <c r="K12" s="36"/>
      <c r="L12" s="36"/>
      <c r="M12" s="36"/>
      <c r="N12" s="36"/>
      <c r="O12" s="35"/>
      <c r="P12" s="35"/>
      <c r="Q12" s="35"/>
    </row>
    <row r="13" spans="1:17" ht="14.25" customHeight="1">
      <c r="A13" s="35"/>
      <c r="B13" s="44" t="s">
        <v>62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6"/>
      <c r="O13" s="35"/>
      <c r="P13" s="35"/>
      <c r="Q13" s="35"/>
    </row>
    <row r="14" spans="1:17" ht="14.25" customHeight="1">
      <c r="A14" s="35"/>
      <c r="B14" s="60" t="s">
        <v>63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9"/>
      <c r="O14" s="35"/>
      <c r="P14" s="35"/>
      <c r="Q14" s="35"/>
    </row>
    <row r="15" spans="1:17" ht="14.25" customHeight="1">
      <c r="A15" s="35"/>
      <c r="B15" s="61" t="s">
        <v>64</v>
      </c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9"/>
      <c r="O15" s="35"/>
      <c r="P15" s="35"/>
      <c r="Q15" s="35"/>
    </row>
    <row r="16" spans="1:17" ht="11.25" customHeight="1">
      <c r="A16" s="35"/>
      <c r="B16" s="61" t="s">
        <v>65</v>
      </c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9"/>
      <c r="O16" s="35"/>
      <c r="P16" s="35"/>
      <c r="Q16" s="35"/>
    </row>
    <row r="17" spans="1:17" ht="12.75" customHeight="1">
      <c r="A17" s="35"/>
      <c r="B17" s="61" t="s">
        <v>66</v>
      </c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9"/>
      <c r="O17" s="35"/>
      <c r="P17" s="35"/>
      <c r="Q17" s="36"/>
    </row>
    <row r="18" spans="1:17" ht="12" customHeight="1">
      <c r="B18" s="57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9"/>
    </row>
    <row r="19" spans="1:17" ht="12" customHeight="1">
      <c r="A19" s="2"/>
      <c r="B19" s="57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9"/>
      <c r="O19" s="2"/>
      <c r="P19" s="2"/>
      <c r="Q19" s="2"/>
    </row>
    <row r="20" spans="1:17" ht="12" customHeight="1">
      <c r="A20" s="2"/>
      <c r="B20" s="54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6"/>
      <c r="O20" s="2"/>
      <c r="P20" s="2"/>
      <c r="Q20" s="2"/>
    </row>
    <row r="21" spans="1:17" ht="12" customHeight="1">
      <c r="B21" s="1"/>
      <c r="G21" s="2"/>
      <c r="H21" s="2"/>
      <c r="I21" s="2"/>
      <c r="J21" s="2"/>
      <c r="K21" s="2"/>
      <c r="L21" s="2"/>
      <c r="M21" s="2"/>
    </row>
    <row r="22" spans="1:17" ht="12" customHeight="1">
      <c r="B22" s="1"/>
      <c r="G22" s="2"/>
      <c r="H22" s="2"/>
      <c r="I22" s="2"/>
      <c r="J22" s="2"/>
      <c r="K22" s="2"/>
      <c r="L22" s="2"/>
      <c r="M22" s="2"/>
    </row>
    <row r="23" spans="1:17" ht="12" customHeight="1">
      <c r="B23" s="1"/>
      <c r="G23" s="2"/>
      <c r="H23" s="2"/>
      <c r="I23" s="2"/>
      <c r="J23" s="2"/>
      <c r="K23" s="2"/>
      <c r="L23" s="2"/>
      <c r="M23" s="2"/>
    </row>
    <row r="24" spans="1:17" ht="27.75" customHeight="1">
      <c r="B24" s="1"/>
      <c r="G24" s="2"/>
      <c r="H24" s="2"/>
      <c r="I24" s="2"/>
      <c r="J24" s="2"/>
      <c r="K24" s="2"/>
      <c r="L24" s="2"/>
      <c r="M24" s="2"/>
    </row>
    <row r="25" spans="1:17" ht="27.75" customHeight="1">
      <c r="B25" s="1"/>
      <c r="G25" s="2"/>
      <c r="H25" s="2"/>
      <c r="I25" s="2"/>
      <c r="J25" s="2"/>
      <c r="K25" s="2"/>
      <c r="L25" s="2"/>
      <c r="M25" s="2"/>
    </row>
    <row r="26" spans="1:17" ht="27.75" customHeight="1">
      <c r="B26" s="1"/>
      <c r="G26" s="2"/>
      <c r="H26" s="2"/>
      <c r="I26" s="2"/>
      <c r="J26" s="2"/>
      <c r="K26" s="2"/>
      <c r="L26" s="2"/>
      <c r="M26" s="2"/>
    </row>
    <row r="27" spans="1:17" ht="27.75" customHeight="1">
      <c r="B27" s="1"/>
      <c r="G27" s="2"/>
      <c r="H27" s="2"/>
      <c r="I27" s="2"/>
      <c r="J27" s="2"/>
      <c r="K27" s="2"/>
      <c r="L27" s="2"/>
      <c r="M27" s="2"/>
    </row>
    <row r="28" spans="1:17" ht="27.75" customHeight="1">
      <c r="B28" s="1"/>
      <c r="G28" s="2"/>
      <c r="H28" s="2"/>
      <c r="I28" s="2"/>
      <c r="J28" s="2"/>
      <c r="K28" s="2"/>
      <c r="L28" s="2"/>
      <c r="M28" s="2"/>
    </row>
    <row r="29" spans="1:17" ht="27.75" customHeight="1">
      <c r="B29" s="1"/>
      <c r="G29" s="2"/>
      <c r="H29" s="2"/>
      <c r="I29" s="2"/>
      <c r="J29" s="2"/>
      <c r="K29" s="2"/>
      <c r="L29" s="2"/>
      <c r="M29" s="2"/>
    </row>
    <row r="30" spans="1:17" ht="27.75" customHeight="1">
      <c r="B30" s="1"/>
      <c r="G30" s="2"/>
      <c r="H30" s="2"/>
      <c r="I30" s="2"/>
      <c r="J30" s="2"/>
      <c r="K30" s="2"/>
      <c r="L30" s="2"/>
      <c r="M30" s="2"/>
    </row>
    <row r="31" spans="1:17" ht="27.75" customHeight="1">
      <c r="B31" s="1"/>
      <c r="G31" s="2"/>
      <c r="H31" s="2"/>
      <c r="I31" s="2"/>
      <c r="J31" s="2"/>
      <c r="K31" s="2"/>
      <c r="L31" s="2"/>
      <c r="M31" s="2"/>
    </row>
    <row r="32" spans="1:17" ht="27.75" customHeight="1">
      <c r="B32" s="1"/>
      <c r="G32" s="2"/>
      <c r="H32" s="2"/>
      <c r="I32" s="2"/>
      <c r="J32" s="2"/>
      <c r="K32" s="2"/>
      <c r="L32" s="2"/>
      <c r="M32" s="2"/>
    </row>
    <row r="33" spans="2:13" ht="27.75" customHeight="1">
      <c r="B33" s="1"/>
      <c r="G33" s="2"/>
      <c r="H33" s="2"/>
      <c r="I33" s="2"/>
      <c r="J33" s="2"/>
      <c r="K33" s="2"/>
      <c r="L33" s="2"/>
      <c r="M33" s="2"/>
    </row>
    <row r="34" spans="2:13" ht="27.75" customHeight="1">
      <c r="B34" s="1"/>
      <c r="G34" s="2"/>
      <c r="H34" s="2"/>
      <c r="I34" s="2"/>
      <c r="J34" s="2"/>
      <c r="K34" s="2"/>
      <c r="L34" s="2"/>
      <c r="M34" s="2"/>
    </row>
    <row r="35" spans="2:13" ht="27.75" customHeight="1">
      <c r="B35" s="1"/>
      <c r="G35" s="2"/>
      <c r="H35" s="2"/>
      <c r="I35" s="2"/>
      <c r="J35" s="2"/>
      <c r="K35" s="2"/>
      <c r="L35" s="2"/>
      <c r="M35" s="2"/>
    </row>
    <row r="36" spans="2:13" ht="27.75" customHeight="1">
      <c r="B36" s="1"/>
      <c r="G36" s="2"/>
      <c r="H36" s="2"/>
      <c r="I36" s="2"/>
      <c r="J36" s="2"/>
      <c r="K36" s="2"/>
      <c r="L36" s="2"/>
      <c r="M36" s="2"/>
    </row>
    <row r="37" spans="2:13" ht="27.75" customHeight="1">
      <c r="B37" s="1"/>
      <c r="G37" s="2"/>
      <c r="H37" s="2"/>
      <c r="I37" s="2"/>
      <c r="J37" s="2"/>
      <c r="K37" s="2"/>
      <c r="L37" s="2"/>
      <c r="M37" s="2"/>
    </row>
    <row r="38" spans="2:13" ht="27.75" customHeight="1">
      <c r="B38" s="1"/>
      <c r="G38" s="2"/>
      <c r="H38" s="2"/>
      <c r="I38" s="2"/>
      <c r="J38" s="2"/>
      <c r="K38" s="2"/>
      <c r="L38" s="2"/>
      <c r="M38" s="2"/>
    </row>
    <row r="39" spans="2:13" ht="27.75" customHeight="1">
      <c r="B39" s="1"/>
      <c r="G39" s="2"/>
      <c r="H39" s="2"/>
      <c r="I39" s="2"/>
      <c r="J39" s="2"/>
      <c r="K39" s="2"/>
      <c r="L39" s="2"/>
      <c r="M39" s="2"/>
    </row>
    <row r="40" spans="2:13" ht="27.75" customHeight="1">
      <c r="B40" s="1"/>
      <c r="G40" s="2"/>
      <c r="H40" s="2"/>
      <c r="I40" s="2"/>
      <c r="J40" s="2"/>
      <c r="K40" s="2"/>
      <c r="L40" s="2"/>
      <c r="M40" s="2"/>
    </row>
    <row r="41" spans="2:13" ht="27.75" customHeight="1">
      <c r="B41" s="1"/>
      <c r="G41" s="2"/>
      <c r="H41" s="2"/>
      <c r="I41" s="2"/>
      <c r="J41" s="2"/>
      <c r="K41" s="2"/>
      <c r="L41" s="2"/>
      <c r="M41" s="2"/>
    </row>
    <row r="42" spans="2:13" ht="27.75" customHeight="1">
      <c r="B42" s="1"/>
      <c r="G42" s="2"/>
      <c r="H42" s="2"/>
      <c r="I42" s="2"/>
      <c r="J42" s="2"/>
      <c r="K42" s="2"/>
      <c r="L42" s="2"/>
      <c r="M42" s="2"/>
    </row>
    <row r="43" spans="2:13" ht="27.75" customHeight="1">
      <c r="B43" s="1"/>
      <c r="G43" s="2"/>
      <c r="H43" s="2"/>
      <c r="I43" s="2"/>
      <c r="J43" s="2"/>
      <c r="K43" s="2"/>
      <c r="L43" s="2"/>
      <c r="M43" s="2"/>
    </row>
    <row r="44" spans="2:13" ht="27.75" customHeight="1">
      <c r="B44" s="1"/>
      <c r="G44" s="2"/>
      <c r="H44" s="2"/>
      <c r="I44" s="2"/>
      <c r="J44" s="2"/>
      <c r="K44" s="2"/>
      <c r="L44" s="2"/>
      <c r="M44" s="2"/>
    </row>
    <row r="45" spans="2:13" ht="27.75" customHeight="1">
      <c r="B45" s="1"/>
      <c r="G45" s="2"/>
      <c r="H45" s="2"/>
      <c r="I45" s="2"/>
      <c r="J45" s="2"/>
      <c r="K45" s="2"/>
      <c r="L45" s="2"/>
      <c r="M45" s="2"/>
    </row>
    <row r="46" spans="2:13" ht="27.75" customHeight="1">
      <c r="B46" s="1"/>
      <c r="G46" s="2"/>
      <c r="H46" s="2"/>
      <c r="I46" s="2"/>
      <c r="J46" s="2"/>
      <c r="K46" s="2"/>
      <c r="L46" s="2"/>
      <c r="M46" s="2"/>
    </row>
    <row r="47" spans="2:13" ht="27.75" customHeight="1">
      <c r="B47" s="1"/>
      <c r="G47" s="2"/>
      <c r="H47" s="2"/>
      <c r="I47" s="2"/>
      <c r="J47" s="2"/>
      <c r="K47" s="2"/>
      <c r="L47" s="2"/>
      <c r="M47" s="2"/>
    </row>
    <row r="48" spans="2:13" ht="27.75" customHeight="1">
      <c r="B48" s="1"/>
      <c r="G48" s="2"/>
      <c r="H48" s="2"/>
      <c r="I48" s="2"/>
      <c r="J48" s="2"/>
      <c r="K48" s="2"/>
      <c r="L48" s="2"/>
      <c r="M48" s="2"/>
    </row>
    <row r="49" spans="2:13" ht="27.75" customHeight="1">
      <c r="B49" s="1"/>
      <c r="G49" s="2"/>
      <c r="H49" s="2"/>
      <c r="I49" s="2"/>
      <c r="J49" s="2"/>
      <c r="K49" s="2"/>
      <c r="L49" s="2"/>
      <c r="M49" s="2"/>
    </row>
    <row r="50" spans="2:13" ht="27.75" customHeight="1">
      <c r="B50" s="1"/>
      <c r="G50" s="2"/>
      <c r="H50" s="2"/>
      <c r="I50" s="2"/>
      <c r="J50" s="2"/>
      <c r="K50" s="2"/>
      <c r="L50" s="2"/>
      <c r="M50" s="2"/>
    </row>
    <row r="51" spans="2:13" ht="27.75" customHeight="1">
      <c r="B51" s="1"/>
      <c r="G51" s="2"/>
      <c r="H51" s="2"/>
      <c r="I51" s="2"/>
      <c r="J51" s="2"/>
      <c r="K51" s="2"/>
      <c r="L51" s="2"/>
      <c r="M51" s="2"/>
    </row>
    <row r="52" spans="2:13" ht="27.75" customHeight="1">
      <c r="B52" s="1"/>
      <c r="G52" s="2"/>
      <c r="H52" s="2"/>
      <c r="I52" s="2"/>
      <c r="J52" s="2"/>
      <c r="K52" s="2"/>
      <c r="L52" s="2"/>
      <c r="M52" s="2"/>
    </row>
    <row r="53" spans="2:13" ht="27.75" customHeight="1">
      <c r="B53" s="1"/>
      <c r="G53" s="2"/>
      <c r="H53" s="2"/>
      <c r="I53" s="2"/>
      <c r="J53" s="2"/>
      <c r="K53" s="2"/>
      <c r="L53" s="2"/>
      <c r="M53" s="2"/>
    </row>
    <row r="54" spans="2:13" ht="27.75" customHeight="1">
      <c r="B54" s="1"/>
      <c r="G54" s="2"/>
      <c r="H54" s="2"/>
      <c r="I54" s="2"/>
      <c r="J54" s="2"/>
      <c r="K54" s="2"/>
      <c r="L54" s="2"/>
      <c r="M54" s="2"/>
    </row>
    <row r="55" spans="2:13" ht="27.75" customHeight="1">
      <c r="B55" s="1"/>
      <c r="G55" s="2"/>
      <c r="H55" s="2"/>
      <c r="I55" s="2"/>
      <c r="J55" s="2"/>
      <c r="K55" s="2"/>
      <c r="L55" s="2"/>
      <c r="M55" s="2"/>
    </row>
    <row r="56" spans="2:13" ht="27.75" customHeight="1">
      <c r="B56" s="1"/>
      <c r="G56" s="2"/>
      <c r="H56" s="2"/>
      <c r="I56" s="2"/>
      <c r="J56" s="2"/>
      <c r="K56" s="2"/>
      <c r="L56" s="2"/>
      <c r="M56" s="2"/>
    </row>
    <row r="57" spans="2:13" ht="27.75" customHeight="1">
      <c r="B57" s="1"/>
      <c r="G57" s="2"/>
      <c r="H57" s="2"/>
      <c r="I57" s="2"/>
      <c r="J57" s="2"/>
      <c r="K57" s="2"/>
      <c r="L57" s="2"/>
      <c r="M57" s="2"/>
    </row>
    <row r="58" spans="2:13" ht="27.75" customHeight="1">
      <c r="B58" s="1"/>
      <c r="G58" s="2"/>
      <c r="H58" s="2"/>
      <c r="I58" s="2"/>
      <c r="J58" s="2"/>
      <c r="K58" s="2"/>
      <c r="L58" s="2"/>
      <c r="M58" s="2"/>
    </row>
    <row r="59" spans="2:13" ht="27.75" customHeight="1">
      <c r="B59" s="1"/>
      <c r="G59" s="2"/>
      <c r="H59" s="2"/>
      <c r="I59" s="2"/>
      <c r="J59" s="2"/>
      <c r="K59" s="2"/>
      <c r="L59" s="2"/>
      <c r="M59" s="2"/>
    </row>
    <row r="60" spans="2:13" ht="27.75" customHeight="1">
      <c r="B60" s="1"/>
      <c r="G60" s="2"/>
      <c r="H60" s="2"/>
      <c r="I60" s="2"/>
      <c r="J60" s="2"/>
      <c r="K60" s="2"/>
      <c r="L60" s="2"/>
      <c r="M60" s="2"/>
    </row>
    <row r="61" spans="2:13" ht="27.75" customHeight="1">
      <c r="B61" s="1"/>
      <c r="G61" s="2"/>
      <c r="H61" s="2"/>
      <c r="I61" s="2"/>
      <c r="J61" s="2"/>
      <c r="K61" s="2"/>
      <c r="L61" s="2"/>
      <c r="M61" s="2"/>
    </row>
    <row r="62" spans="2:13" ht="27.75" customHeight="1">
      <c r="B62" s="1"/>
      <c r="G62" s="2"/>
      <c r="H62" s="2"/>
      <c r="I62" s="2"/>
      <c r="J62" s="2"/>
      <c r="K62" s="2"/>
      <c r="L62" s="2"/>
      <c r="M62" s="2"/>
    </row>
    <row r="63" spans="2:13" ht="27.75" customHeight="1">
      <c r="B63" s="1"/>
      <c r="G63" s="2"/>
      <c r="H63" s="2"/>
      <c r="I63" s="2"/>
      <c r="J63" s="2"/>
      <c r="K63" s="2"/>
      <c r="L63" s="2"/>
      <c r="M63" s="2"/>
    </row>
    <row r="64" spans="2:13" ht="27.75" customHeight="1">
      <c r="B64" s="1"/>
      <c r="G64" s="2"/>
      <c r="H64" s="2"/>
      <c r="I64" s="2"/>
      <c r="J64" s="2"/>
      <c r="K64" s="2"/>
      <c r="L64" s="2"/>
      <c r="M64" s="2"/>
    </row>
    <row r="65" spans="2:13" ht="27.75" customHeight="1">
      <c r="B65" s="1"/>
      <c r="G65" s="2"/>
      <c r="H65" s="2"/>
      <c r="I65" s="2"/>
      <c r="J65" s="2"/>
      <c r="K65" s="2"/>
      <c r="L65" s="2"/>
      <c r="M65" s="2"/>
    </row>
    <row r="66" spans="2:13" ht="27.75" customHeight="1">
      <c r="B66" s="1"/>
      <c r="G66" s="2"/>
      <c r="H66" s="2"/>
      <c r="I66" s="2"/>
      <c r="J66" s="2"/>
      <c r="K66" s="2"/>
      <c r="L66" s="2"/>
      <c r="M66" s="2"/>
    </row>
    <row r="67" spans="2:13" ht="27.75" customHeight="1">
      <c r="B67" s="1"/>
      <c r="G67" s="2"/>
      <c r="H67" s="2"/>
      <c r="I67" s="2"/>
      <c r="J67" s="2"/>
      <c r="K67" s="2"/>
      <c r="L67" s="2"/>
      <c r="M67" s="2"/>
    </row>
    <row r="68" spans="2:13" ht="27.75" customHeight="1">
      <c r="B68" s="1"/>
      <c r="G68" s="2"/>
      <c r="H68" s="2"/>
      <c r="I68" s="2"/>
      <c r="J68" s="2"/>
      <c r="K68" s="2"/>
      <c r="L68" s="2"/>
      <c r="M68" s="2"/>
    </row>
    <row r="69" spans="2:13" ht="27.75" customHeight="1">
      <c r="B69" s="1"/>
      <c r="G69" s="2"/>
      <c r="H69" s="2"/>
      <c r="I69" s="2"/>
      <c r="J69" s="2"/>
      <c r="K69" s="2"/>
      <c r="L69" s="2"/>
      <c r="M69" s="2"/>
    </row>
    <row r="70" spans="2:13" ht="27.75" customHeight="1">
      <c r="B70" s="1"/>
      <c r="G70" s="2"/>
      <c r="H70" s="2"/>
      <c r="I70" s="2"/>
      <c r="J70" s="2"/>
      <c r="K70" s="2"/>
      <c r="L70" s="2"/>
      <c r="M70" s="2"/>
    </row>
    <row r="71" spans="2:13" ht="27.75" customHeight="1">
      <c r="B71" s="1"/>
      <c r="G71" s="2"/>
      <c r="H71" s="2"/>
      <c r="I71" s="2"/>
      <c r="J71" s="2"/>
      <c r="K71" s="2"/>
      <c r="L71" s="2"/>
      <c r="M71" s="2"/>
    </row>
    <row r="72" spans="2:13" ht="27.75" customHeight="1">
      <c r="B72" s="1"/>
      <c r="G72" s="2"/>
      <c r="H72" s="2"/>
      <c r="I72" s="2"/>
      <c r="J72" s="2"/>
      <c r="K72" s="2"/>
      <c r="L72" s="2"/>
      <c r="M72" s="2"/>
    </row>
    <row r="73" spans="2:13" ht="27.75" customHeight="1">
      <c r="B73" s="1"/>
      <c r="G73" s="2"/>
      <c r="H73" s="2"/>
      <c r="I73" s="2"/>
      <c r="J73" s="2"/>
      <c r="K73" s="2"/>
      <c r="L73" s="2"/>
      <c r="M73" s="2"/>
    </row>
    <row r="74" spans="2:13" ht="27.75" customHeight="1">
      <c r="B74" s="1"/>
      <c r="G74" s="2"/>
      <c r="H74" s="2"/>
      <c r="I74" s="2"/>
      <c r="J74" s="2"/>
      <c r="K74" s="2"/>
      <c r="L74" s="2"/>
      <c r="M74" s="2"/>
    </row>
    <row r="75" spans="2:13" ht="27.75" customHeight="1">
      <c r="B75" s="1"/>
      <c r="G75" s="2"/>
      <c r="H75" s="2"/>
      <c r="I75" s="2"/>
      <c r="J75" s="2"/>
      <c r="K75" s="2"/>
      <c r="L75" s="2"/>
      <c r="M75" s="2"/>
    </row>
    <row r="76" spans="2:13" ht="27.75" customHeight="1">
      <c r="B76" s="1"/>
      <c r="G76" s="2"/>
      <c r="H76" s="2"/>
      <c r="I76" s="2"/>
      <c r="J76" s="2"/>
      <c r="K76" s="2"/>
      <c r="L76" s="2"/>
      <c r="M76" s="2"/>
    </row>
    <row r="77" spans="2:13" ht="27.75" customHeight="1">
      <c r="B77" s="1"/>
      <c r="G77" s="2"/>
      <c r="H77" s="2"/>
      <c r="I77" s="2"/>
      <c r="J77" s="2"/>
      <c r="K77" s="2"/>
      <c r="L77" s="2"/>
      <c r="M77" s="2"/>
    </row>
    <row r="78" spans="2:13" ht="27.75" customHeight="1">
      <c r="B78" s="1"/>
      <c r="G78" s="2"/>
      <c r="H78" s="2"/>
      <c r="I78" s="2"/>
      <c r="J78" s="2"/>
      <c r="K78" s="2"/>
      <c r="L78" s="2"/>
      <c r="M78" s="2"/>
    </row>
    <row r="79" spans="2:13" ht="27.75" customHeight="1">
      <c r="B79" s="1"/>
      <c r="G79" s="2"/>
      <c r="H79" s="2"/>
      <c r="I79" s="2"/>
      <c r="J79" s="2"/>
      <c r="K79" s="2"/>
      <c r="L79" s="2"/>
      <c r="M79" s="2"/>
    </row>
    <row r="80" spans="2:13" ht="27.75" customHeight="1">
      <c r="B80" s="1"/>
      <c r="G80" s="2"/>
      <c r="H80" s="2"/>
      <c r="I80" s="2"/>
      <c r="J80" s="2"/>
      <c r="K80" s="2"/>
      <c r="L80" s="2"/>
      <c r="M80" s="2"/>
    </row>
    <row r="81" spans="2:13" ht="27.75" customHeight="1">
      <c r="B81" s="1"/>
      <c r="G81" s="2"/>
      <c r="H81" s="2"/>
      <c r="I81" s="2"/>
      <c r="J81" s="2"/>
      <c r="K81" s="2"/>
      <c r="L81" s="2"/>
      <c r="M81" s="2"/>
    </row>
    <row r="82" spans="2:13" ht="27.75" customHeight="1">
      <c r="B82" s="1"/>
      <c r="G82" s="2"/>
      <c r="H82" s="2"/>
      <c r="I82" s="2"/>
      <c r="J82" s="2"/>
      <c r="K82" s="2"/>
      <c r="L82" s="2"/>
      <c r="M82" s="2"/>
    </row>
    <row r="83" spans="2:13" ht="27.75" customHeight="1">
      <c r="B83" s="1"/>
      <c r="G83" s="2"/>
      <c r="H83" s="2"/>
      <c r="I83" s="2"/>
      <c r="J83" s="2"/>
      <c r="K83" s="2"/>
      <c r="L83" s="2"/>
      <c r="M83" s="2"/>
    </row>
    <row r="84" spans="2:13" ht="27.75" customHeight="1">
      <c r="B84" s="1"/>
      <c r="G84" s="2"/>
      <c r="H84" s="2"/>
      <c r="I84" s="2"/>
      <c r="J84" s="2"/>
      <c r="K84" s="2"/>
      <c r="L84" s="2"/>
      <c r="M84" s="2"/>
    </row>
    <row r="85" spans="2:13" ht="27.75" customHeight="1">
      <c r="B85" s="1"/>
      <c r="G85" s="2"/>
      <c r="H85" s="2"/>
      <c r="I85" s="2"/>
      <c r="J85" s="2"/>
      <c r="K85" s="2"/>
      <c r="L85" s="2"/>
      <c r="M85" s="2"/>
    </row>
    <row r="86" spans="2:13" ht="27.75" customHeight="1">
      <c r="B86" s="1"/>
      <c r="G86" s="2"/>
      <c r="H86" s="2"/>
      <c r="I86" s="2"/>
      <c r="J86" s="2"/>
      <c r="K86" s="2"/>
      <c r="L86" s="2"/>
      <c r="M86" s="2"/>
    </row>
    <row r="87" spans="2:13" ht="27.75" customHeight="1">
      <c r="B87" s="1"/>
      <c r="G87" s="2"/>
      <c r="H87" s="2"/>
      <c r="I87" s="2"/>
      <c r="J87" s="2"/>
      <c r="K87" s="2"/>
      <c r="L87" s="2"/>
      <c r="M87" s="2"/>
    </row>
    <row r="88" spans="2:13" ht="27.75" customHeight="1">
      <c r="B88" s="1"/>
      <c r="G88" s="2"/>
      <c r="H88" s="2"/>
      <c r="I88" s="2"/>
      <c r="J88" s="2"/>
      <c r="K88" s="2"/>
      <c r="L88" s="2"/>
      <c r="M88" s="2"/>
    </row>
    <row r="89" spans="2:13" ht="27.75" customHeight="1">
      <c r="B89" s="1"/>
      <c r="G89" s="2"/>
      <c r="H89" s="2"/>
      <c r="I89" s="2"/>
      <c r="J89" s="2"/>
      <c r="K89" s="2"/>
      <c r="L89" s="2"/>
      <c r="M89" s="2"/>
    </row>
    <row r="90" spans="2:13" ht="27.75" customHeight="1">
      <c r="B90" s="1"/>
      <c r="G90" s="2"/>
      <c r="H90" s="2"/>
      <c r="I90" s="2"/>
      <c r="J90" s="2"/>
      <c r="K90" s="2"/>
      <c r="L90" s="2"/>
      <c r="M90" s="2"/>
    </row>
    <row r="91" spans="2:13" ht="27.75" customHeight="1">
      <c r="B91" s="1"/>
      <c r="G91" s="2"/>
      <c r="H91" s="2"/>
      <c r="I91" s="2"/>
      <c r="J91" s="2"/>
      <c r="K91" s="2"/>
      <c r="L91" s="2"/>
      <c r="M91" s="2"/>
    </row>
    <row r="92" spans="2:13" ht="27.75" customHeight="1">
      <c r="B92" s="1"/>
      <c r="G92" s="2"/>
      <c r="H92" s="2"/>
      <c r="I92" s="2"/>
      <c r="J92" s="2"/>
      <c r="K92" s="2"/>
      <c r="L92" s="2"/>
      <c r="M92" s="2"/>
    </row>
    <row r="93" spans="2:13" ht="27.75" customHeight="1">
      <c r="B93" s="1"/>
      <c r="G93" s="2"/>
      <c r="H93" s="2"/>
      <c r="I93" s="2"/>
      <c r="J93" s="2"/>
      <c r="K93" s="2"/>
      <c r="L93" s="2"/>
      <c r="M93" s="2"/>
    </row>
    <row r="94" spans="2:13" ht="27.75" customHeight="1">
      <c r="B94" s="1"/>
      <c r="G94" s="2"/>
      <c r="H94" s="2"/>
      <c r="I94" s="2"/>
      <c r="J94" s="2"/>
      <c r="K94" s="2"/>
      <c r="L94" s="2"/>
      <c r="M94" s="2"/>
    </row>
    <row r="95" spans="2:13" ht="27.75" customHeight="1">
      <c r="B95" s="1"/>
      <c r="G95" s="2"/>
      <c r="H95" s="2"/>
      <c r="I95" s="2"/>
      <c r="J95" s="2"/>
      <c r="K95" s="2"/>
      <c r="L95" s="2"/>
      <c r="M95" s="2"/>
    </row>
    <row r="96" spans="2:13" ht="27.75" customHeight="1">
      <c r="B96" s="1"/>
      <c r="G96" s="2"/>
      <c r="H96" s="2"/>
      <c r="I96" s="2"/>
      <c r="J96" s="2"/>
      <c r="K96" s="2"/>
      <c r="L96" s="2"/>
      <c r="M96" s="2"/>
    </row>
    <row r="97" spans="2:13" ht="27.75" customHeight="1">
      <c r="B97" s="1"/>
      <c r="G97" s="2"/>
      <c r="H97" s="2"/>
      <c r="I97" s="2"/>
      <c r="J97" s="2"/>
      <c r="K97" s="2"/>
      <c r="L97" s="2"/>
      <c r="M97" s="2"/>
    </row>
    <row r="98" spans="2:13" ht="27.75" customHeight="1">
      <c r="B98" s="1"/>
      <c r="G98" s="2"/>
      <c r="H98" s="2"/>
      <c r="I98" s="2"/>
      <c r="J98" s="2"/>
      <c r="K98" s="2"/>
      <c r="L98" s="2"/>
      <c r="M98" s="2"/>
    </row>
    <row r="99" spans="2:13" ht="27.75" customHeight="1">
      <c r="B99" s="1"/>
      <c r="G99" s="2"/>
      <c r="H99" s="2"/>
      <c r="I99" s="2"/>
      <c r="J99" s="2"/>
      <c r="K99" s="2"/>
      <c r="L99" s="2"/>
      <c r="M99" s="2"/>
    </row>
    <row r="100" spans="2:13" ht="27.75" customHeight="1">
      <c r="B100" s="1"/>
      <c r="G100" s="2"/>
      <c r="H100" s="2"/>
      <c r="I100" s="2"/>
      <c r="J100" s="2"/>
      <c r="K100" s="2"/>
      <c r="L100" s="2"/>
      <c r="M100" s="2"/>
    </row>
    <row r="101" spans="2:13" ht="15.75" customHeight="1"/>
    <row r="102" spans="2:13" ht="15.75" customHeight="1"/>
    <row r="103" spans="2:13" ht="15.75" customHeight="1"/>
    <row r="104" spans="2:13" ht="15.75" customHeight="1"/>
    <row r="105" spans="2:13" ht="15.75" customHeight="1"/>
    <row r="106" spans="2:13" ht="15.75" customHeight="1"/>
    <row r="107" spans="2:13" ht="15.75" customHeight="1"/>
    <row r="108" spans="2:13" ht="15.75" customHeight="1"/>
    <row r="109" spans="2:13" ht="15.75" customHeight="1"/>
    <row r="110" spans="2:13" ht="15.75" customHeight="1"/>
    <row r="111" spans="2:13" ht="15.75" customHeight="1"/>
    <row r="112" spans="2:13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20:N20"/>
    <mergeCell ref="B19:N19"/>
    <mergeCell ref="B14:N14"/>
    <mergeCell ref="B15:N15"/>
    <mergeCell ref="B16:N16"/>
    <mergeCell ref="B17:N17"/>
    <mergeCell ref="B18:N18"/>
    <mergeCell ref="B13:N13"/>
    <mergeCell ref="B2:N2"/>
    <mergeCell ref="C3:F3"/>
    <mergeCell ref="G3:J3"/>
    <mergeCell ref="K3:M3"/>
    <mergeCell ref="N3:N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workbookViewId="0">
      <selection activeCell="E21" sqref="E21"/>
    </sheetView>
  </sheetViews>
  <sheetFormatPr baseColWidth="10" defaultRowHeight="14.25"/>
  <cols>
    <col min="1" max="1" width="21.625" bestFit="1" customWidth="1"/>
  </cols>
  <sheetData>
    <row r="2" spans="1:6" ht="15">
      <c r="A2" s="62" t="s">
        <v>81</v>
      </c>
      <c r="B2" s="62"/>
      <c r="C2" s="62"/>
      <c r="D2" s="62"/>
      <c r="E2" s="62"/>
      <c r="F2" s="62"/>
    </row>
    <row r="4" spans="1:6" ht="15">
      <c r="A4" s="39" t="s">
        <v>67</v>
      </c>
      <c r="B4" s="63" t="s">
        <v>82</v>
      </c>
      <c r="C4" s="63"/>
      <c r="D4" s="63"/>
      <c r="E4" s="63"/>
    </row>
    <row r="5" spans="1:6" ht="15">
      <c r="A5" s="39" t="s">
        <v>68</v>
      </c>
      <c r="B5" s="37" t="s">
        <v>76</v>
      </c>
    </row>
    <row r="6" spans="1:6" ht="15">
      <c r="A6" s="39" t="s">
        <v>69</v>
      </c>
      <c r="B6" s="37" t="s">
        <v>77</v>
      </c>
    </row>
    <row r="7" spans="1:6" ht="15">
      <c r="A7" s="39" t="s">
        <v>70</v>
      </c>
      <c r="B7" s="24">
        <v>1.5</v>
      </c>
    </row>
    <row r="8" spans="1:6" ht="15.75" thickBot="1">
      <c r="A8" s="39" t="s">
        <v>75</v>
      </c>
      <c r="B8" t="s">
        <v>78</v>
      </c>
    </row>
    <row r="9" spans="1:6" ht="15" thickBot="1">
      <c r="A9" s="64" t="s">
        <v>71</v>
      </c>
      <c r="B9" s="65" t="s">
        <v>79</v>
      </c>
      <c r="C9" s="66"/>
      <c r="D9" s="66"/>
      <c r="E9" s="41">
        <f>1023*1.5</f>
        <v>1534.5</v>
      </c>
    </row>
    <row r="10" spans="1:6">
      <c r="A10" s="64"/>
    </row>
    <row r="11" spans="1:6" ht="15" thickBot="1"/>
    <row r="12" spans="1:6" ht="15" thickBot="1">
      <c r="A12" s="64" t="s">
        <v>72</v>
      </c>
      <c r="B12" s="65">
        <v>1535</v>
      </c>
      <c r="C12" s="66"/>
      <c r="D12" s="66"/>
      <c r="E12" s="41">
        <f>1535/(60%*1023)</f>
        <v>2.5008145975887914</v>
      </c>
    </row>
    <row r="13" spans="1:6">
      <c r="A13" s="64"/>
      <c r="B13" s="67" t="s">
        <v>80</v>
      </c>
      <c r="C13" s="67"/>
      <c r="D13" s="67"/>
    </row>
    <row r="16" spans="1:6" ht="15">
      <c r="A16" s="40" t="s">
        <v>73</v>
      </c>
      <c r="B16" s="42">
        <f>+E9</f>
        <v>1534.5</v>
      </c>
      <c r="C16" s="38"/>
    </row>
    <row r="17" spans="1:3" ht="15">
      <c r="A17" s="40"/>
      <c r="B17" s="40"/>
      <c r="C17" s="38"/>
    </row>
    <row r="18" spans="1:3" ht="15">
      <c r="A18" s="40" t="s">
        <v>74</v>
      </c>
      <c r="B18" s="43">
        <f>+E12</f>
        <v>2.5008145975887914</v>
      </c>
      <c r="C18" s="38"/>
    </row>
  </sheetData>
  <mergeCells count="7">
    <mergeCell ref="A2:F2"/>
    <mergeCell ref="B4:E4"/>
    <mergeCell ref="A9:A10"/>
    <mergeCell ref="B9:D9"/>
    <mergeCell ref="A12:A13"/>
    <mergeCell ref="B12:D12"/>
    <mergeCell ref="B13:D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AR_1-2-3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Unidad de Ordenamiento Urbano Departamento de Planificación Urbana y Territorial</dc:creator>
  <cp:lastModifiedBy>Juan Josè Castillo</cp:lastModifiedBy>
  <dcterms:created xsi:type="dcterms:W3CDTF">2012-03-06T18:50:15Z</dcterms:created>
  <dcterms:modified xsi:type="dcterms:W3CDTF">2025-11-17T00:58:41Z</dcterms:modified>
</cp:coreProperties>
</file>