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5a567b29438ee0/Escritorio/111/MERIDIANO CAPITAL +  DESARROLLADORA INMOB/Edificio Herrera Town/Documentacion Analisis de Compra Edificio Herrera/"/>
    </mc:Choice>
  </mc:AlternateContent>
  <xr:revisionPtr revIDLastSave="76" documentId="13_ncr:1_{24978084-C5CD-4D86-A57C-0DB224324F0C}" xr6:coauthVersionLast="47" xr6:coauthVersionMax="47" xr10:uidLastSave="{DF7DA49D-17A8-4343-99AE-3E054550A454}"/>
  <bookViews>
    <workbookView xWindow="-120" yWindow="-120" windowWidth="29040" windowHeight="15840" activeTab="1" xr2:uid="{3F214320-AB58-4EED-A5A8-1E856038CA7C}"/>
  </bookViews>
  <sheets>
    <sheet name="Area Construcción" sheetId="1" r:id="rId1"/>
    <sheet name="Inversión" sheetId="2" r:id="rId2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N15" i="2"/>
  <c r="F11" i="2"/>
  <c r="E5" i="1"/>
  <c r="E14" i="1"/>
  <c r="E13" i="1"/>
  <c r="E12" i="1"/>
  <c r="E10" i="1"/>
  <c r="E9" i="1"/>
  <c r="E8" i="1"/>
  <c r="E7" i="1"/>
  <c r="E6" i="1"/>
  <c r="L9" i="2"/>
  <c r="N9" i="2" s="1"/>
  <c r="O9" i="2" s="1"/>
  <c r="E18" i="1"/>
  <c r="E19" i="1"/>
  <c r="E20" i="1"/>
  <c r="E21" i="1"/>
  <c r="E17" i="1"/>
  <c r="L16" i="2"/>
  <c r="N16" i="2" s="1"/>
  <c r="F31" i="2"/>
  <c r="E29" i="2"/>
  <c r="F29" i="2" s="1"/>
  <c r="E28" i="2"/>
  <c r="F28" i="2" s="1"/>
  <c r="E27" i="2"/>
  <c r="F27" i="2" s="1"/>
  <c r="D25" i="2"/>
  <c r="E25" i="2" s="1"/>
  <c r="F25" i="2" s="1"/>
  <c r="D24" i="2"/>
  <c r="E24" i="2" s="1"/>
  <c r="F24" i="2" s="1"/>
  <c r="D23" i="2"/>
  <c r="E23" i="2" s="1"/>
  <c r="F23" i="2" s="1"/>
  <c r="D22" i="2"/>
  <c r="E22" i="2" s="1"/>
  <c r="F22" i="2" s="1"/>
  <c r="D21" i="2"/>
  <c r="D20" i="2"/>
  <c r="E20" i="2" s="1"/>
  <c r="F20" i="2" s="1"/>
  <c r="E17" i="2"/>
  <c r="F17" i="2" s="1"/>
  <c r="D16" i="2"/>
  <c r="E16" i="2" s="1"/>
  <c r="F16" i="2" s="1"/>
  <c r="L15" i="2"/>
  <c r="D15" i="2"/>
  <c r="E15" i="2" s="1"/>
  <c r="F15" i="2" s="1"/>
  <c r="N14" i="2"/>
  <c r="L14" i="2"/>
  <c r="E14" i="2"/>
  <c r="F14" i="2" s="1"/>
  <c r="L13" i="2"/>
  <c r="N13" i="2" s="1"/>
  <c r="O13" i="2" s="1"/>
  <c r="L11" i="2"/>
  <c r="N11" i="2" s="1"/>
  <c r="O11" i="2" s="1"/>
  <c r="L10" i="2"/>
  <c r="N10" i="2" s="1"/>
  <c r="O10" i="2" s="1"/>
  <c r="F10" i="2"/>
  <c r="F9" i="2"/>
  <c r="L8" i="2"/>
  <c r="N8" i="2" s="1"/>
  <c r="O8" i="2" s="1"/>
  <c r="M7" i="2"/>
  <c r="M8" i="2"/>
  <c r="L7" i="2"/>
  <c r="N7" i="2" s="1"/>
  <c r="O7" i="2" s="1"/>
  <c r="E7" i="2"/>
  <c r="F7" i="2" s="1"/>
  <c r="L6" i="2"/>
  <c r="N6" i="2" s="1"/>
  <c r="E6" i="2"/>
  <c r="F6" i="2" s="1"/>
  <c r="E5" i="2"/>
  <c r="F5" i="2" s="1"/>
  <c r="M9" i="2"/>
  <c r="M10" i="2"/>
  <c r="M11" i="2"/>
  <c r="M12" i="2"/>
  <c r="M13" i="2"/>
  <c r="N12" i="2"/>
  <c r="E21" i="2" l="1"/>
  <c r="F21" i="2" s="1"/>
  <c r="E12" i="2"/>
  <c r="F12" i="2" s="1"/>
  <c r="E8" i="2"/>
  <c r="F8" i="2" s="1"/>
  <c r="L17" i="2"/>
  <c r="E26" i="2"/>
  <c r="F26" i="2" s="1"/>
  <c r="O6" i="2"/>
  <c r="N17" i="2"/>
  <c r="M17" i="2" l="1"/>
  <c r="E13" i="2"/>
  <c r="F13" i="2" s="1"/>
  <c r="D18" i="2" s="1"/>
  <c r="E18" i="2" s="1"/>
  <c r="F18" i="2" s="1"/>
  <c r="E41" i="2"/>
  <c r="N21" i="2"/>
  <c r="E19" i="2" l="1"/>
  <c r="F19" i="2" l="1"/>
  <c r="E38" i="2"/>
  <c r="F38" i="2" s="1"/>
  <c r="F30" i="2"/>
  <c r="E32" i="2"/>
  <c r="F32" i="2" s="1"/>
  <c r="E33" i="2" l="1"/>
  <c r="E37" i="2" l="1"/>
  <c r="E34" i="2"/>
  <c r="E36" i="2"/>
  <c r="E35" i="2"/>
  <c r="F33" i="2"/>
  <c r="E39" i="2" l="1"/>
  <c r="G30" i="2"/>
  <c r="G16" i="2"/>
  <c r="G18" i="2"/>
  <c r="G15" i="2"/>
  <c r="G24" i="2"/>
  <c r="G31" i="2"/>
  <c r="G17" i="2"/>
  <c r="G27" i="2"/>
  <c r="G11" i="2"/>
  <c r="G25" i="2"/>
  <c r="G6" i="2"/>
  <c r="N20" i="2"/>
  <c r="N22" i="2" s="1"/>
  <c r="N24" i="2" s="1"/>
  <c r="G26" i="2"/>
  <c r="G10" i="2"/>
  <c r="E42" i="2"/>
  <c r="G12" i="2"/>
  <c r="G8" i="2"/>
  <c r="F39" i="2"/>
  <c r="G29" i="2"/>
  <c r="G7" i="2"/>
  <c r="G38" i="2"/>
  <c r="G23" i="2"/>
  <c r="G21" i="2"/>
  <c r="G19" i="2"/>
  <c r="G22" i="2"/>
  <c r="G28" i="2"/>
  <c r="G39" i="2"/>
  <c r="G5" i="2"/>
  <c r="G20" i="2"/>
  <c r="G9" i="2"/>
  <c r="G13" i="2"/>
  <c r="G14" i="2"/>
  <c r="G32" i="2"/>
  <c r="F37" i="2"/>
  <c r="G37" i="2"/>
  <c r="G34" i="2"/>
  <c r="F34" i="2"/>
  <c r="F35" i="2"/>
  <c r="G35" i="2"/>
  <c r="F36" i="2"/>
  <c r="G36" i="2"/>
  <c r="G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5" authorId="0" shapeId="0" xr:uid="{5CDC59EA-98DA-4351-A8BD-A176A6203D9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170000 costo de terreno, 2000 gastos de escribania
</t>
        </r>
      </text>
    </comment>
  </commentList>
</comments>
</file>

<file path=xl/sharedStrings.xml><?xml version="1.0" encoding="utf-8"?>
<sst xmlns="http://schemas.openxmlformats.org/spreadsheetml/2006/main" count="92" uniqueCount="80">
  <si>
    <t>GASTOS GENERALES (Gs.)</t>
  </si>
  <si>
    <t xml:space="preserve">MBURUCUYA </t>
  </si>
  <si>
    <t>Tipo</t>
  </si>
  <si>
    <t>#</t>
  </si>
  <si>
    <t>m2</t>
  </si>
  <si>
    <t>total</t>
  </si>
  <si>
    <t>Dpto 3D duplex 4B</t>
  </si>
  <si>
    <t>Dpto 1D duplex 4A</t>
  </si>
  <si>
    <t>Dpto 2D 6A</t>
  </si>
  <si>
    <t>Bauleras</t>
  </si>
  <si>
    <t>Parking</t>
  </si>
  <si>
    <t>Area vendible</t>
  </si>
  <si>
    <t>Area construida</t>
  </si>
  <si>
    <t>4To Piso</t>
  </si>
  <si>
    <t>5to</t>
  </si>
  <si>
    <t>6to</t>
  </si>
  <si>
    <t>azotea</t>
  </si>
  <si>
    <t>Total construido</t>
  </si>
  <si>
    <t>T.C.</t>
  </si>
  <si>
    <t>Descripción</t>
  </si>
  <si>
    <t>Cantidad</t>
  </si>
  <si>
    <t>Precio Unitario</t>
  </si>
  <si>
    <t>US$</t>
  </si>
  <si>
    <t>Gs.</t>
  </si>
  <si>
    <t>%</t>
  </si>
  <si>
    <t>VENTAS</t>
  </si>
  <si>
    <t>Terreno</t>
  </si>
  <si>
    <t>$</t>
  </si>
  <si>
    <t>Gastos Escribania, Transferencia, varios</t>
  </si>
  <si>
    <t>Impuesto a la demolicion</t>
  </si>
  <si>
    <t>Subtotal Gastos Terreno</t>
  </si>
  <si>
    <t>Estudio De Suelos</t>
  </si>
  <si>
    <t>Desarrollo De Proyecto (ARQ, EE, IIEE, gestor)</t>
  </si>
  <si>
    <t>Impuesto De Construcción (3,5% M2)Municipalidad</t>
  </si>
  <si>
    <t>Subtotal Anteproyecto</t>
  </si>
  <si>
    <t>Construccion Completa (Llave En Mano)</t>
  </si>
  <si>
    <t>Ascensor</t>
  </si>
  <si>
    <t>Medidores Ande</t>
  </si>
  <si>
    <t>Medidores Essap</t>
  </si>
  <si>
    <t>Balcones sin techo</t>
  </si>
  <si>
    <t>Factibilidad Ande</t>
  </si>
  <si>
    <t>Gastos Generales</t>
  </si>
  <si>
    <t>Subtotal Obra</t>
  </si>
  <si>
    <t>RETORNO PROYECTO</t>
  </si>
  <si>
    <t>Reglamento de Copropiedad</t>
  </si>
  <si>
    <t>Total Inversión</t>
  </si>
  <si>
    <t>Arancel SNC, COPIAS</t>
  </si>
  <si>
    <t>Total Ventas</t>
  </si>
  <si>
    <t>Impuesto De Fraccionamiento - Catastro ( 1% del computo metrico)</t>
  </si>
  <si>
    <t>Retorno en USD</t>
  </si>
  <si>
    <t>Inscripcion de cta. Catastral escribania</t>
  </si>
  <si>
    <t>Duración Proyecto (años)</t>
  </si>
  <si>
    <t>Tasa de inscripcion en Registro</t>
  </si>
  <si>
    <t>Retorno Anual%</t>
  </si>
  <si>
    <t>Gestor tramite copropiedad</t>
  </si>
  <si>
    <t>Subtotal Tramites</t>
  </si>
  <si>
    <t>Gasto Fiscalizador y Supervicion</t>
  </si>
  <si>
    <t>Gasto calidad y control obra</t>
  </si>
  <si>
    <t xml:space="preserve">Gasto Administrativo </t>
  </si>
  <si>
    <t>Publicidad y Marketing</t>
  </si>
  <si>
    <t>Estudio fideicomiso</t>
  </si>
  <si>
    <t>SUBTOTAL PROYECTO</t>
  </si>
  <si>
    <t>Fee Desarrollador</t>
  </si>
  <si>
    <t>Tranferencia Escribania 1%</t>
  </si>
  <si>
    <t>Fideicomiso</t>
  </si>
  <si>
    <t>Comision Venta</t>
  </si>
  <si>
    <t>Comision Financiera</t>
  </si>
  <si>
    <t>TOTAL PROYECTO</t>
  </si>
  <si>
    <t>Total construido (m2)</t>
  </si>
  <si>
    <t>Total Costo por m2</t>
  </si>
  <si>
    <t>Dpto 1,2,3A</t>
  </si>
  <si>
    <t>Dpto 1,2,3B</t>
  </si>
  <si>
    <t>Dpto 1,2,3,4,5,6C</t>
  </si>
  <si>
    <t>Dpto 1,2,3,4,5,6D</t>
  </si>
  <si>
    <t>Dpto 1,2,3A MONO</t>
  </si>
  <si>
    <t>Dpto 1,2,3B 2D</t>
  </si>
  <si>
    <t>Dpto 1,2,3,4,5,6C 2D+SERV</t>
  </si>
  <si>
    <t>Dpto 1,2,3,4,5,6D MONO</t>
  </si>
  <si>
    <t>f</t>
  </si>
  <si>
    <t>Pisos SS ,PB, 1, 2,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</si>
</sst>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#,##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Calibri"/>
      <family val="2"/>
    </font>
    <font>
      <sz val="10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0"/>
      <color rgb="FF000000"/>
      <name val="Calibri"/>
      <family val="2"/>
    </font>
    <font>
      <b/>
      <sz val="10"/>
      <color rgb="FF0000FF"/>
      <name val="Calibri"/>
      <family val="2"/>
    </font>
    <font>
      <sz val="10"/>
      <name val="Calibri"/>
      <family val="2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0"/>
      <color theme="1"/>
      <name val="Calibri"/>
      <family val="2"/>
    </font>
    <font>
      <sz val="10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4A088"/>
        <bgColor rgb="FF000000"/>
      </patternFill>
    </fill>
    <fill>
      <patternFill patternType="solid">
        <fgColor rgb="FF495241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3" fontId="4" fillId="0" borderId="0" xfId="0" applyNumberFormat="1" applyFont="1"/>
    <xf numFmtId="3" fontId="5" fillId="2" borderId="0" xfId="0" applyNumberFormat="1" applyFont="1" applyFill="1" applyAlignment="1">
      <alignment horizontal="center"/>
    </xf>
    <xf numFmtId="3" fontId="5" fillId="2" borderId="0" xfId="0" applyNumberFormat="1" applyFont="1" applyFill="1" applyAlignment="1">
      <alignment horizontal="right"/>
    </xf>
    <xf numFmtId="3" fontId="6" fillId="3" borderId="0" xfId="0" applyNumberFormat="1" applyFont="1" applyFill="1" applyAlignment="1">
      <alignment horizontal="left"/>
    </xf>
    <xf numFmtId="3" fontId="7" fillId="3" borderId="0" xfId="0" applyNumberFormat="1" applyFont="1" applyFill="1" applyAlignment="1">
      <alignment horizontal="right"/>
    </xf>
    <xf numFmtId="3" fontId="8" fillId="0" borderId="0" xfId="0" applyNumberFormat="1" applyFont="1"/>
    <xf numFmtId="3" fontId="9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 vertical="center"/>
    </xf>
    <xf numFmtId="3" fontId="10" fillId="0" borderId="1" xfId="0" applyNumberFormat="1" applyFont="1" applyBorder="1"/>
    <xf numFmtId="3" fontId="5" fillId="0" borderId="1" xfId="0" applyNumberFormat="1" applyFont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3" fontId="10" fillId="0" borderId="0" xfId="0" applyNumberFormat="1" applyFont="1"/>
    <xf numFmtId="3" fontId="12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3" fontId="14" fillId="0" borderId="2" xfId="0" applyNumberFormat="1" applyFont="1" applyBorder="1" applyAlignment="1">
      <alignment horizontal="left"/>
    </xf>
    <xf numFmtId="43" fontId="0" fillId="0" borderId="2" xfId="1" applyFont="1" applyBorder="1"/>
    <xf numFmtId="164" fontId="0" fillId="0" borderId="2" xfId="1" applyNumberFormat="1" applyFont="1" applyBorder="1"/>
    <xf numFmtId="10" fontId="0" fillId="0" borderId="2" xfId="2" applyNumberFormat="1" applyFont="1" applyBorder="1" applyAlignment="1">
      <alignment horizontal="center"/>
    </xf>
    <xf numFmtId="3" fontId="13" fillId="5" borderId="0" xfId="0" applyNumberFormat="1" applyFont="1" applyFill="1" applyAlignment="1">
      <alignment horizontal="left"/>
    </xf>
    <xf numFmtId="3" fontId="13" fillId="5" borderId="0" xfId="0" applyNumberFormat="1" applyFont="1" applyFill="1" applyAlignment="1">
      <alignment horizontal="right"/>
    </xf>
    <xf numFmtId="3" fontId="15" fillId="0" borderId="2" xfId="0" applyNumberFormat="1" applyFont="1" applyBorder="1" applyAlignment="1">
      <alignment horizontal="left"/>
    </xf>
    <xf numFmtId="3" fontId="16" fillId="0" borderId="0" xfId="0" applyNumberFormat="1" applyFont="1"/>
    <xf numFmtId="3" fontId="17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 vertical="center"/>
    </xf>
    <xf numFmtId="0" fontId="0" fillId="6" borderId="0" xfId="0" applyFill="1"/>
    <xf numFmtId="164" fontId="0" fillId="0" borderId="0" xfId="1" applyNumberFormat="1" applyFont="1"/>
    <xf numFmtId="3" fontId="15" fillId="0" borderId="3" xfId="0" applyNumberFormat="1" applyFont="1" applyBorder="1" applyAlignment="1">
      <alignment horizontal="left"/>
    </xf>
    <xf numFmtId="43" fontId="0" fillId="0" borderId="3" xfId="1" applyFont="1" applyBorder="1"/>
    <xf numFmtId="164" fontId="0" fillId="0" borderId="3" xfId="1" applyNumberFormat="1" applyFont="1" applyBorder="1"/>
    <xf numFmtId="10" fontId="0" fillId="0" borderId="3" xfId="2" applyNumberFormat="1" applyFont="1" applyBorder="1" applyAlignment="1">
      <alignment horizontal="center"/>
    </xf>
    <xf numFmtId="0" fontId="3" fillId="7" borderId="2" xfId="0" applyFont="1" applyFill="1" applyBorder="1"/>
    <xf numFmtId="164" fontId="3" fillId="7" borderId="2" xfId="0" applyNumberFormat="1" applyFont="1" applyFill="1" applyBorder="1"/>
    <xf numFmtId="164" fontId="3" fillId="7" borderId="2" xfId="1" applyNumberFormat="1" applyFont="1" applyFill="1" applyBorder="1"/>
    <xf numFmtId="10" fontId="3" fillId="7" borderId="2" xfId="2" applyNumberFormat="1" applyFont="1" applyFill="1" applyBorder="1" applyAlignment="1">
      <alignment horizontal="center"/>
    </xf>
    <xf numFmtId="0" fontId="18" fillId="0" borderId="2" xfId="0" applyFont="1" applyBorder="1"/>
    <xf numFmtId="0" fontId="0" fillId="0" borderId="2" xfId="0" applyBorder="1"/>
    <xf numFmtId="164" fontId="16" fillId="0" borderId="2" xfId="1" applyNumberFormat="1" applyFont="1" applyBorder="1" applyAlignment="1">
      <alignment horizontal="right"/>
    </xf>
    <xf numFmtId="10" fontId="16" fillId="0" borderId="2" xfId="2" applyNumberFormat="1" applyFont="1" applyBorder="1" applyAlignment="1">
      <alignment horizontal="center"/>
    </xf>
    <xf numFmtId="3" fontId="19" fillId="0" borderId="0" xfId="0" applyNumberFormat="1" applyFont="1" applyAlignment="1">
      <alignment horizontal="right"/>
    </xf>
    <xf numFmtId="3" fontId="16" fillId="7" borderId="0" xfId="0" applyNumberFormat="1" applyFont="1" applyFill="1"/>
    <xf numFmtId="3" fontId="17" fillId="7" borderId="0" xfId="0" applyNumberFormat="1" applyFont="1" applyFill="1" applyAlignment="1">
      <alignment horizontal="right"/>
    </xf>
    <xf numFmtId="3" fontId="15" fillId="7" borderId="0" xfId="0" applyNumberFormat="1" applyFont="1" applyFill="1" applyAlignment="1">
      <alignment horizontal="right" vertical="center"/>
    </xf>
    <xf numFmtId="0" fontId="0" fillId="7" borderId="0" xfId="0" applyFill="1"/>
    <xf numFmtId="164" fontId="0" fillId="7" borderId="0" xfId="1" applyNumberFormat="1" applyFont="1" applyFill="1"/>
    <xf numFmtId="0" fontId="20" fillId="7" borderId="0" xfId="0" applyFont="1" applyFill="1"/>
    <xf numFmtId="3" fontId="21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3" fontId="22" fillId="0" borderId="1" xfId="0" applyNumberFormat="1" applyFont="1" applyBorder="1" applyAlignment="1">
      <alignment horizontal="right"/>
    </xf>
    <xf numFmtId="3" fontId="23" fillId="0" borderId="1" xfId="0" applyNumberFormat="1" applyFont="1" applyBorder="1" applyAlignment="1">
      <alignment horizontal="right"/>
    </xf>
    <xf numFmtId="3" fontId="16" fillId="0" borderId="2" xfId="0" applyNumberFormat="1" applyFont="1" applyBorder="1"/>
    <xf numFmtId="10" fontId="0" fillId="0" borderId="2" xfId="0" applyNumberFormat="1" applyBorder="1"/>
    <xf numFmtId="0" fontId="0" fillId="7" borderId="2" xfId="0" applyFill="1" applyBorder="1"/>
    <xf numFmtId="164" fontId="21" fillId="7" borderId="2" xfId="1" applyNumberFormat="1" applyFont="1" applyFill="1" applyBorder="1" applyAlignment="1">
      <alignment horizontal="right"/>
    </xf>
    <xf numFmtId="3" fontId="21" fillId="0" borderId="4" xfId="0" applyNumberFormat="1" applyFont="1" applyBorder="1"/>
    <xf numFmtId="0" fontId="0" fillId="0" borderId="4" xfId="0" applyBorder="1"/>
    <xf numFmtId="0" fontId="18" fillId="0" borderId="5" xfId="0" applyFont="1" applyBorder="1"/>
    <xf numFmtId="0" fontId="18" fillId="0" borderId="5" xfId="0" applyFont="1" applyBorder="1" applyAlignment="1">
      <alignment horizontal="right"/>
    </xf>
    <xf numFmtId="164" fontId="18" fillId="0" borderId="5" xfId="1" applyNumberFormat="1" applyFont="1" applyBorder="1" applyAlignment="1">
      <alignment horizontal="right"/>
    </xf>
    <xf numFmtId="164" fontId="0" fillId="0" borderId="5" xfId="1" applyNumberFormat="1" applyFont="1" applyBorder="1"/>
    <xf numFmtId="10" fontId="0" fillId="0" borderId="5" xfId="2" applyNumberFormat="1" applyFont="1" applyBorder="1" applyAlignment="1">
      <alignment horizontal="center"/>
    </xf>
    <xf numFmtId="164" fontId="0" fillId="0" borderId="0" xfId="0" applyNumberFormat="1"/>
    <xf numFmtId="0" fontId="18" fillId="0" borderId="2" xfId="0" applyFont="1" applyBorder="1" applyAlignment="1">
      <alignment horizontal="right"/>
    </xf>
    <xf numFmtId="164" fontId="18" fillId="0" borderId="2" xfId="1" applyNumberFormat="1" applyFont="1" applyBorder="1" applyAlignment="1">
      <alignment horizontal="right"/>
    </xf>
    <xf numFmtId="3" fontId="0" fillId="0" borderId="0" xfId="0" applyNumberFormat="1"/>
    <xf numFmtId="9" fontId="12" fillId="0" borderId="2" xfId="2" applyFont="1" applyBorder="1" applyAlignment="1">
      <alignment horizontal="right"/>
    </xf>
    <xf numFmtId="164" fontId="12" fillId="0" borderId="2" xfId="1" applyNumberFormat="1" applyFont="1" applyBorder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3" fillId="0" borderId="6" xfId="0" applyFont="1" applyBorder="1"/>
    <xf numFmtId="10" fontId="3" fillId="0" borderId="6" xfId="2" applyNumberFormat="1" applyFont="1" applyBorder="1"/>
    <xf numFmtId="165" fontId="14" fillId="0" borderId="2" xfId="2" applyNumberFormat="1" applyFont="1" applyFill="1" applyBorder="1" applyAlignment="1">
      <alignment horizontal="right" vertical="center"/>
    </xf>
    <xf numFmtId="164" fontId="0" fillId="0" borderId="2" xfId="0" applyNumberFormat="1" applyBorder="1"/>
    <xf numFmtId="9" fontId="0" fillId="0" borderId="0" xfId="0" applyNumberFormat="1"/>
    <xf numFmtId="3" fontId="16" fillId="0" borderId="7" xfId="0" applyNumberFormat="1" applyFont="1" applyBorder="1"/>
    <xf numFmtId="3" fontId="16" fillId="0" borderId="8" xfId="0" applyNumberFormat="1" applyFont="1" applyBorder="1" applyAlignment="1">
      <alignment horizontal="right"/>
    </xf>
    <xf numFmtId="3" fontId="16" fillId="0" borderId="9" xfId="0" applyNumberFormat="1" applyFont="1" applyBorder="1" applyAlignment="1">
      <alignment horizontal="right"/>
    </xf>
    <xf numFmtId="43" fontId="0" fillId="0" borderId="0" xfId="1" applyFont="1" applyAlignment="1">
      <alignment horizontal="center"/>
    </xf>
    <xf numFmtId="3" fontId="21" fillId="0" borderId="7" xfId="0" applyNumberFormat="1" applyFont="1" applyBorder="1"/>
    <xf numFmtId="3" fontId="21" fillId="0" borderId="8" xfId="0" applyNumberFormat="1" applyFont="1" applyBorder="1" applyAlignment="1">
      <alignment horizontal="right"/>
    </xf>
    <xf numFmtId="3" fontId="21" fillId="0" borderId="9" xfId="0" applyNumberFormat="1" applyFont="1" applyBorder="1" applyAlignment="1">
      <alignment horizontal="right"/>
    </xf>
    <xf numFmtId="43" fontId="0" fillId="0" borderId="0" xfId="1" applyFont="1"/>
    <xf numFmtId="166" fontId="17" fillId="0" borderId="0" xfId="0" applyNumberFormat="1" applyFont="1" applyAlignment="1">
      <alignment horizontal="right"/>
    </xf>
    <xf numFmtId="0" fontId="18" fillId="8" borderId="2" xfId="0" applyFont="1" applyFill="1" applyBorder="1"/>
    <xf numFmtId="43" fontId="0" fillId="8" borderId="2" xfId="1" applyFont="1" applyFill="1" applyBorder="1"/>
    <xf numFmtId="0" fontId="0" fillId="8" borderId="2" xfId="0" applyFill="1" applyBorder="1"/>
    <xf numFmtId="164" fontId="16" fillId="8" borderId="2" xfId="0" applyNumberFormat="1" applyFont="1" applyFill="1" applyBorder="1" applyAlignment="1">
      <alignment horizontal="right"/>
    </xf>
    <xf numFmtId="164" fontId="16" fillId="8" borderId="2" xfId="1" applyNumberFormat="1" applyFont="1" applyFill="1" applyBorder="1" applyAlignment="1">
      <alignment horizontal="right"/>
    </xf>
    <xf numFmtId="3" fontId="16" fillId="8" borderId="2" xfId="0" applyNumberFormat="1" applyFont="1" applyFill="1" applyBorder="1" applyAlignment="1">
      <alignment horizontal="right"/>
    </xf>
    <xf numFmtId="3" fontId="15" fillId="8" borderId="2" xfId="0" applyNumberFormat="1" applyFont="1" applyFill="1" applyBorder="1" applyAlignment="1">
      <alignment horizontal="right"/>
    </xf>
    <xf numFmtId="164" fontId="0" fillId="8" borderId="2" xfId="1" applyNumberFormat="1" applyFont="1" applyFill="1" applyBorder="1"/>
    <xf numFmtId="165" fontId="26" fillId="0" borderId="2" xfId="0" applyNumberFormat="1" applyFont="1" applyBorder="1"/>
    <xf numFmtId="0" fontId="26" fillId="0" borderId="2" xfId="0" applyFont="1" applyBorder="1"/>
    <xf numFmtId="164" fontId="26" fillId="0" borderId="2" xfId="0" applyNumberFormat="1" applyFont="1" applyBorder="1"/>
    <xf numFmtId="164" fontId="26" fillId="0" borderId="2" xfId="1" applyNumberFormat="1" applyFont="1" applyBorder="1"/>
    <xf numFmtId="10" fontId="26" fillId="0" borderId="2" xfId="2" applyNumberFormat="1" applyFont="1" applyBorder="1" applyAlignment="1">
      <alignment horizontal="center"/>
    </xf>
    <xf numFmtId="3" fontId="13" fillId="4" borderId="0" xfId="0" applyNumberFormat="1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DAFB-854C-4DB5-B6D6-740A3AFA67B0}">
  <dimension ref="B2:H31"/>
  <sheetViews>
    <sheetView workbookViewId="0">
      <selection activeCell="I21" sqref="I21"/>
    </sheetView>
  </sheetViews>
  <sheetFormatPr baseColWidth="10" defaultColWidth="10.7109375" defaultRowHeight="15" x14ac:dyDescent="0.25"/>
  <cols>
    <col min="1" max="1" width="6.5703125" customWidth="1"/>
    <col min="2" max="2" width="53.85546875" bestFit="1" customWidth="1"/>
    <col min="5" max="6" width="14.85546875" bestFit="1" customWidth="1"/>
    <col min="7" max="7" width="13.42578125" bestFit="1" customWidth="1"/>
    <col min="8" max="8" width="13" bestFit="1" customWidth="1"/>
  </cols>
  <sheetData>
    <row r="2" spans="2:5" x14ac:dyDescent="0.25">
      <c r="B2" s="1" t="s">
        <v>0</v>
      </c>
      <c r="C2" s="1"/>
      <c r="D2" s="1"/>
      <c r="E2" s="1"/>
    </row>
    <row r="3" spans="2:5" x14ac:dyDescent="0.25">
      <c r="B3" s="2" t="s">
        <v>1</v>
      </c>
      <c r="C3" s="3"/>
      <c r="D3" s="3"/>
      <c r="E3" s="3"/>
    </row>
    <row r="4" spans="2:5" x14ac:dyDescent="0.25">
      <c r="B4" s="4" t="s">
        <v>2</v>
      </c>
      <c r="C4" s="5" t="s">
        <v>3</v>
      </c>
      <c r="D4" s="5" t="s">
        <v>4</v>
      </c>
      <c r="E4" s="5" t="s">
        <v>5</v>
      </c>
    </row>
    <row r="5" spans="2:5" x14ac:dyDescent="0.25">
      <c r="B5" s="25" t="s">
        <v>74</v>
      </c>
      <c r="C5" s="26">
        <v>0</v>
      </c>
      <c r="D5" s="85">
        <v>0</v>
      </c>
      <c r="E5" s="27">
        <f>+D5*C5</f>
        <v>0</v>
      </c>
    </row>
    <row r="6" spans="2:5" x14ac:dyDescent="0.25">
      <c r="B6" s="25" t="s">
        <v>75</v>
      </c>
      <c r="C6" s="26">
        <v>0</v>
      </c>
      <c r="D6" s="85">
        <v>0</v>
      </c>
      <c r="E6" s="27">
        <f t="shared" ref="E6:E13" si="0">+D6*C6</f>
        <v>0</v>
      </c>
    </row>
    <row r="7" spans="2:5" x14ac:dyDescent="0.25">
      <c r="B7" s="25" t="s">
        <v>76</v>
      </c>
      <c r="C7" s="26">
        <v>0</v>
      </c>
      <c r="D7" s="26">
        <v>0</v>
      </c>
      <c r="E7" s="27">
        <f t="shared" si="0"/>
        <v>0</v>
      </c>
    </row>
    <row r="8" spans="2:5" x14ac:dyDescent="0.25">
      <c r="B8" s="25" t="s">
        <v>77</v>
      </c>
      <c r="C8" s="26">
        <v>0</v>
      </c>
      <c r="D8" s="85">
        <v>0</v>
      </c>
      <c r="E8" s="27">
        <f t="shared" si="0"/>
        <v>0</v>
      </c>
    </row>
    <row r="9" spans="2:5" x14ac:dyDescent="0.25">
      <c r="B9" s="25" t="s">
        <v>6</v>
      </c>
      <c r="C9" s="26">
        <v>0</v>
      </c>
      <c r="D9" s="42">
        <v>0</v>
      </c>
      <c r="E9" s="27">
        <f t="shared" si="0"/>
        <v>0</v>
      </c>
    </row>
    <row r="10" spans="2:5" x14ac:dyDescent="0.25">
      <c r="B10" s="25" t="s">
        <v>7</v>
      </c>
      <c r="C10" s="26">
        <v>0</v>
      </c>
      <c r="D10" s="42">
        <v>0</v>
      </c>
      <c r="E10" s="27">
        <f t="shared" si="0"/>
        <v>0</v>
      </c>
    </row>
    <row r="11" spans="2:5" x14ac:dyDescent="0.25">
      <c r="B11" s="25"/>
      <c r="C11" s="26"/>
      <c r="D11" s="42"/>
      <c r="E11" s="27"/>
    </row>
    <row r="12" spans="2:5" x14ac:dyDescent="0.25">
      <c r="B12" s="25" t="s">
        <v>8</v>
      </c>
      <c r="C12" s="26">
        <v>0</v>
      </c>
      <c r="D12" s="26">
        <v>0</v>
      </c>
      <c r="E12" s="27">
        <f t="shared" si="0"/>
        <v>0</v>
      </c>
    </row>
    <row r="13" spans="2:5" x14ac:dyDescent="0.25">
      <c r="B13" s="43" t="s">
        <v>9</v>
      </c>
      <c r="C13" s="44"/>
      <c r="D13" s="44">
        <v>0</v>
      </c>
      <c r="E13" s="45">
        <f t="shared" si="0"/>
        <v>0</v>
      </c>
    </row>
    <row r="14" spans="2:5" x14ac:dyDescent="0.25">
      <c r="B14" s="43" t="s">
        <v>10</v>
      </c>
      <c r="C14" s="44">
        <v>0</v>
      </c>
      <c r="D14" s="44">
        <v>0</v>
      </c>
      <c r="E14" s="45">
        <f>C14*D14</f>
        <v>0</v>
      </c>
    </row>
    <row r="15" spans="2:5" ht="15.75" thickBot="1" x14ac:dyDescent="0.3">
      <c r="B15" s="9" t="s">
        <v>11</v>
      </c>
      <c r="C15" s="10"/>
      <c r="D15" s="11"/>
      <c r="E15" s="12">
        <v>0</v>
      </c>
    </row>
    <row r="16" spans="2:5" x14ac:dyDescent="0.25">
      <c r="B16" s="13" t="s">
        <v>12</v>
      </c>
      <c r="C16" s="7"/>
      <c r="D16" s="14"/>
      <c r="E16" s="14"/>
    </row>
    <row r="17" spans="2:8" x14ac:dyDescent="0.25">
      <c r="B17" s="6" t="s">
        <v>79</v>
      </c>
      <c r="C17" s="7">
        <v>5</v>
      </c>
      <c r="D17" s="7">
        <v>0</v>
      </c>
      <c r="E17" s="8">
        <f t="shared" ref="E17:E21" si="1">C17*D17</f>
        <v>0</v>
      </c>
    </row>
    <row r="18" spans="2:8" x14ac:dyDescent="0.25">
      <c r="B18" s="6" t="s">
        <v>13</v>
      </c>
      <c r="C18" s="7">
        <v>1</v>
      </c>
      <c r="D18" s="7">
        <v>0</v>
      </c>
      <c r="E18" s="8">
        <f t="shared" si="1"/>
        <v>0</v>
      </c>
    </row>
    <row r="19" spans="2:8" x14ac:dyDescent="0.25">
      <c r="B19" s="6" t="s">
        <v>14</v>
      </c>
      <c r="C19" s="7">
        <v>1</v>
      </c>
      <c r="D19" s="7">
        <v>0</v>
      </c>
      <c r="E19" s="8">
        <f t="shared" si="1"/>
        <v>0</v>
      </c>
    </row>
    <row r="20" spans="2:8" x14ac:dyDescent="0.25">
      <c r="B20" s="6" t="s">
        <v>15</v>
      </c>
      <c r="C20" s="7">
        <v>1</v>
      </c>
      <c r="D20" s="7">
        <v>0</v>
      </c>
      <c r="E20" s="8">
        <f t="shared" si="1"/>
        <v>0</v>
      </c>
    </row>
    <row r="21" spans="2:8" x14ac:dyDescent="0.25">
      <c r="B21" s="6" t="s">
        <v>16</v>
      </c>
      <c r="C21" s="7">
        <v>1</v>
      </c>
      <c r="D21" s="7">
        <v>0</v>
      </c>
      <c r="E21" s="8">
        <f t="shared" si="1"/>
        <v>0</v>
      </c>
    </row>
    <row r="22" spans="2:8" ht="15.75" thickBot="1" x14ac:dyDescent="0.3">
      <c r="B22" s="9" t="s">
        <v>17</v>
      </c>
      <c r="C22" s="11"/>
      <c r="D22" s="10"/>
      <c r="E22" s="12">
        <v>0</v>
      </c>
      <c r="F22">
        <v>0</v>
      </c>
    </row>
    <row r="31" spans="2:8" x14ac:dyDescent="0.25">
      <c r="H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8FEB3-9D77-4762-A797-A07A5DE7FAF1}">
  <sheetPr>
    <pageSetUpPr fitToPage="1"/>
  </sheetPr>
  <dimension ref="A3:O44"/>
  <sheetViews>
    <sheetView showGridLines="0" tabSelected="1" topLeftCell="B2" zoomScale="124" zoomScaleNormal="124" workbookViewId="0">
      <pane ySplit="3" topLeftCell="A5" activePane="bottomLeft" state="frozen"/>
      <selection activeCell="B5" sqref="B5"/>
      <selection pane="bottomLeft" activeCell="C13" sqref="C13"/>
    </sheetView>
  </sheetViews>
  <sheetFormatPr baseColWidth="10" defaultColWidth="10.7109375" defaultRowHeight="15" x14ac:dyDescent="0.25"/>
  <cols>
    <col min="1" max="1" width="4" customWidth="1"/>
    <col min="2" max="2" width="54.5703125" bestFit="1" customWidth="1"/>
    <col min="3" max="3" width="9.140625" bestFit="1" customWidth="1"/>
    <col min="4" max="4" width="14.28515625" bestFit="1" customWidth="1"/>
    <col min="5" max="5" width="10.5703125" bestFit="1" customWidth="1"/>
    <col min="6" max="6" width="15.28515625" bestFit="1" customWidth="1"/>
    <col min="7" max="7" width="8.140625" style="16" bestFit="1" customWidth="1"/>
    <col min="8" max="8" width="5.28515625" customWidth="1"/>
    <col min="9" max="9" width="21.28515625" bestFit="1" customWidth="1"/>
    <col min="10" max="12" width="9.7109375" customWidth="1"/>
    <col min="13" max="13" width="12.5703125" bestFit="1" customWidth="1"/>
  </cols>
  <sheetData>
    <row r="3" spans="2:15" x14ac:dyDescent="0.25">
      <c r="E3" s="15" t="s">
        <v>18</v>
      </c>
      <c r="F3" s="15">
        <v>5950</v>
      </c>
    </row>
    <row r="4" spans="2:15" x14ac:dyDescent="0.25">
      <c r="B4" s="17" t="s">
        <v>19</v>
      </c>
      <c r="C4" s="17" t="s">
        <v>20</v>
      </c>
      <c r="D4" s="17" t="s">
        <v>21</v>
      </c>
      <c r="E4" s="17" t="s">
        <v>22</v>
      </c>
      <c r="F4" s="17" t="s">
        <v>23</v>
      </c>
      <c r="G4" s="17" t="s">
        <v>24</v>
      </c>
      <c r="I4" s="99" t="s">
        <v>25</v>
      </c>
      <c r="J4" s="99"/>
      <c r="K4" s="99"/>
      <c r="L4" s="99"/>
      <c r="M4" s="99"/>
      <c r="N4" s="99"/>
    </row>
    <row r="5" spans="2:15" x14ac:dyDescent="0.25">
      <c r="B5" s="18" t="s">
        <v>26</v>
      </c>
      <c r="C5" s="19">
        <v>469</v>
      </c>
      <c r="D5" s="19">
        <v>850</v>
      </c>
      <c r="E5" s="20">
        <f>+C5*D5</f>
        <v>398650</v>
      </c>
      <c r="F5" s="20">
        <f>+E5*$F$3</f>
        <v>2371967500</v>
      </c>
      <c r="G5" s="21">
        <f>+E5/$E$39</f>
        <v>0.11513195578903897</v>
      </c>
      <c r="I5" s="22" t="s">
        <v>19</v>
      </c>
      <c r="J5" s="23" t="s">
        <v>3</v>
      </c>
      <c r="K5" s="23" t="s">
        <v>4</v>
      </c>
      <c r="L5" s="23" t="s">
        <v>5</v>
      </c>
      <c r="M5" s="23" t="s">
        <v>21</v>
      </c>
      <c r="N5" s="23" t="s">
        <v>27</v>
      </c>
    </row>
    <row r="6" spans="2:15" x14ac:dyDescent="0.25">
      <c r="B6" s="24" t="s">
        <v>28</v>
      </c>
      <c r="C6" s="19">
        <v>1</v>
      </c>
      <c r="D6" s="19">
        <v>5000</v>
      </c>
      <c r="E6" s="20">
        <f t="shared" ref="E6:E7" si="0">+C6*D6</f>
        <v>5000</v>
      </c>
      <c r="F6" s="20">
        <f t="shared" ref="F6:F39" si="1">+E6*$F$3</f>
        <v>29750000</v>
      </c>
      <c r="G6" s="21">
        <f t="shared" ref="G6:G39" si="2">+E6/$E$39</f>
        <v>1.4440230250726072E-3</v>
      </c>
      <c r="I6" s="25" t="s">
        <v>70</v>
      </c>
      <c r="J6" s="26">
        <v>0</v>
      </c>
      <c r="K6" s="85">
        <v>0</v>
      </c>
      <c r="L6" s="27">
        <f t="shared" ref="L6:L14" si="3">+K6*J6</f>
        <v>0</v>
      </c>
      <c r="M6" s="28">
        <v>1700</v>
      </c>
      <c r="N6" s="29">
        <f>+L6*M6</f>
        <v>0</v>
      </c>
      <c r="O6" s="29" t="e">
        <f>+N6/J6</f>
        <v>#DIV/0!</v>
      </c>
    </row>
    <row r="7" spans="2:15" x14ac:dyDescent="0.25">
      <c r="B7" s="30" t="s">
        <v>29</v>
      </c>
      <c r="C7" s="31">
        <v>1</v>
      </c>
      <c r="D7" s="31">
        <v>0</v>
      </c>
      <c r="E7" s="32">
        <f t="shared" si="0"/>
        <v>0</v>
      </c>
      <c r="F7" s="32">
        <f t="shared" si="1"/>
        <v>0</v>
      </c>
      <c r="G7" s="33">
        <f t="shared" si="2"/>
        <v>0</v>
      </c>
      <c r="I7" s="25" t="s">
        <v>71</v>
      </c>
      <c r="J7" s="26">
        <v>0</v>
      </c>
      <c r="K7" s="85">
        <v>0</v>
      </c>
      <c r="L7" s="27">
        <f t="shared" si="3"/>
        <v>0</v>
      </c>
      <c r="M7">
        <f>+M6</f>
        <v>1700</v>
      </c>
      <c r="N7" s="29">
        <f t="shared" ref="N7:N13" si="4">+L7*M7</f>
        <v>0</v>
      </c>
      <c r="O7" s="29" t="e">
        <f t="shared" ref="O7:O13" si="5">+N7/J7</f>
        <v>#DIV/0!</v>
      </c>
    </row>
    <row r="8" spans="2:15" x14ac:dyDescent="0.25">
      <c r="B8" s="34" t="s">
        <v>30</v>
      </c>
      <c r="C8" s="34"/>
      <c r="D8" s="34"/>
      <c r="E8" s="35">
        <f>+SUM(E5:E7)</f>
        <v>403650</v>
      </c>
      <c r="F8" s="36">
        <f t="shared" si="1"/>
        <v>2401717500</v>
      </c>
      <c r="G8" s="37">
        <f t="shared" si="2"/>
        <v>0.11657597881411157</v>
      </c>
      <c r="I8" s="25" t="s">
        <v>72</v>
      </c>
      <c r="J8" s="26">
        <v>0</v>
      </c>
      <c r="K8" s="26">
        <v>0</v>
      </c>
      <c r="L8" s="27">
        <f t="shared" si="3"/>
        <v>0</v>
      </c>
      <c r="M8">
        <f t="shared" ref="M8:M13" si="6">+M7</f>
        <v>1700</v>
      </c>
      <c r="N8" s="29">
        <f t="shared" si="4"/>
        <v>0</v>
      </c>
      <c r="O8" s="29" t="e">
        <f t="shared" si="5"/>
        <v>#DIV/0!</v>
      </c>
    </row>
    <row r="9" spans="2:15" x14ac:dyDescent="0.25">
      <c r="B9" s="86" t="s">
        <v>31</v>
      </c>
      <c r="C9" s="87"/>
      <c r="D9" s="88"/>
      <c r="E9" s="89">
        <v>0</v>
      </c>
      <c r="F9" s="90">
        <f t="shared" si="1"/>
        <v>0</v>
      </c>
      <c r="G9" s="41">
        <f t="shared" si="2"/>
        <v>0</v>
      </c>
      <c r="I9" s="25" t="s">
        <v>73</v>
      </c>
      <c r="J9" s="26">
        <v>0</v>
      </c>
      <c r="K9" s="85">
        <v>0</v>
      </c>
      <c r="L9" s="27">
        <f t="shared" si="3"/>
        <v>0</v>
      </c>
      <c r="M9">
        <f t="shared" si="6"/>
        <v>1700</v>
      </c>
      <c r="N9" s="29">
        <f t="shared" si="4"/>
        <v>0</v>
      </c>
      <c r="O9" s="29" t="e">
        <f t="shared" si="5"/>
        <v>#DIV/0!</v>
      </c>
    </row>
    <row r="10" spans="2:15" x14ac:dyDescent="0.25">
      <c r="B10" s="86" t="s">
        <v>32</v>
      </c>
      <c r="C10" s="87"/>
      <c r="D10" s="88"/>
      <c r="E10" s="89">
        <v>0</v>
      </c>
      <c r="F10" s="90">
        <f t="shared" si="1"/>
        <v>0</v>
      </c>
      <c r="G10" s="41">
        <f t="shared" si="2"/>
        <v>0</v>
      </c>
      <c r="I10" s="25" t="s">
        <v>6</v>
      </c>
      <c r="J10" s="26">
        <v>0</v>
      </c>
      <c r="K10" s="42">
        <v>0</v>
      </c>
      <c r="L10" s="27">
        <f t="shared" si="3"/>
        <v>0</v>
      </c>
      <c r="M10">
        <f t="shared" si="6"/>
        <v>1700</v>
      </c>
      <c r="N10" s="29">
        <f t="shared" si="4"/>
        <v>0</v>
      </c>
      <c r="O10" s="29" t="e">
        <f t="shared" si="5"/>
        <v>#DIV/0!</v>
      </c>
    </row>
    <row r="11" spans="2:15" x14ac:dyDescent="0.25">
      <c r="B11" s="86" t="s">
        <v>33</v>
      </c>
      <c r="C11" s="87"/>
      <c r="D11" s="88"/>
      <c r="E11" s="89">
        <v>0</v>
      </c>
      <c r="F11" s="90">
        <f>+E11*$F$3</f>
        <v>0</v>
      </c>
      <c r="G11" s="41">
        <f t="shared" si="2"/>
        <v>0</v>
      </c>
      <c r="I11" s="25" t="s">
        <v>7</v>
      </c>
      <c r="J11" s="26">
        <v>1</v>
      </c>
      <c r="K11" s="42">
        <v>0</v>
      </c>
      <c r="L11" s="27">
        <f t="shared" si="3"/>
        <v>0</v>
      </c>
      <c r="M11">
        <f t="shared" si="6"/>
        <v>1700</v>
      </c>
      <c r="N11" s="29">
        <f t="shared" si="4"/>
        <v>0</v>
      </c>
      <c r="O11" s="29">
        <f t="shared" si="5"/>
        <v>0</v>
      </c>
    </row>
    <row r="12" spans="2:15" x14ac:dyDescent="0.25">
      <c r="B12" s="34" t="s">
        <v>34</v>
      </c>
      <c r="C12" s="34"/>
      <c r="D12" s="34"/>
      <c r="E12" s="35">
        <f>+SUM(E9:E11)</f>
        <v>0</v>
      </c>
      <c r="F12" s="36">
        <f t="shared" si="1"/>
        <v>0</v>
      </c>
      <c r="G12" s="37">
        <f t="shared" si="2"/>
        <v>0</v>
      </c>
      <c r="I12" s="25"/>
      <c r="J12" s="26"/>
      <c r="K12" s="42"/>
      <c r="L12" s="27"/>
      <c r="M12">
        <f t="shared" si="6"/>
        <v>1700</v>
      </c>
      <c r="N12" s="29">
        <f t="shared" si="4"/>
        <v>0</v>
      </c>
      <c r="O12" s="29"/>
    </row>
    <row r="13" spans="2:15" x14ac:dyDescent="0.25">
      <c r="B13" s="38" t="s">
        <v>35</v>
      </c>
      <c r="C13" s="20">
        <v>3113</v>
      </c>
      <c r="D13" s="20">
        <v>750</v>
      </c>
      <c r="E13" s="20">
        <f t="shared" ref="E13:E30" si="7">+C13*D13</f>
        <v>2334750</v>
      </c>
      <c r="F13" s="40">
        <f t="shared" si="1"/>
        <v>13891762500</v>
      </c>
      <c r="G13" s="21">
        <f t="shared" si="2"/>
        <v>0.67428655155765393</v>
      </c>
      <c r="I13" s="25" t="s">
        <v>8</v>
      </c>
      <c r="J13" s="26">
        <v>0</v>
      </c>
      <c r="K13" s="26">
        <v>0</v>
      </c>
      <c r="L13" s="27">
        <f t="shared" si="3"/>
        <v>0</v>
      </c>
      <c r="M13">
        <f t="shared" si="6"/>
        <v>1700</v>
      </c>
      <c r="N13" s="29">
        <f t="shared" si="4"/>
        <v>0</v>
      </c>
      <c r="O13" s="29" t="e">
        <f t="shared" si="5"/>
        <v>#DIV/0!</v>
      </c>
    </row>
    <row r="14" spans="2:15" x14ac:dyDescent="0.25">
      <c r="B14" s="18" t="s">
        <v>36</v>
      </c>
      <c r="C14" s="20">
        <v>2</v>
      </c>
      <c r="D14" s="20">
        <v>35000</v>
      </c>
      <c r="E14" s="20">
        <f t="shared" si="7"/>
        <v>70000</v>
      </c>
      <c r="F14" s="40">
        <f t="shared" si="1"/>
        <v>416500000</v>
      </c>
      <c r="G14" s="21">
        <f t="shared" si="2"/>
        <v>2.0216322351016499E-2</v>
      </c>
      <c r="I14" s="43" t="s">
        <v>9</v>
      </c>
      <c r="J14" s="44"/>
      <c r="K14" s="44"/>
      <c r="L14" s="45">
        <f t="shared" si="3"/>
        <v>0</v>
      </c>
      <c r="M14" s="46">
        <v>2500</v>
      </c>
      <c r="N14" s="47">
        <f>+J14*M14</f>
        <v>0</v>
      </c>
    </row>
    <row r="15" spans="2:15" x14ac:dyDescent="0.25">
      <c r="B15" s="38" t="s">
        <v>37</v>
      </c>
      <c r="C15" s="20">
        <v>21</v>
      </c>
      <c r="D15" s="20">
        <f>470000/F3</f>
        <v>78.991596638655466</v>
      </c>
      <c r="E15" s="20">
        <f t="shared" si="7"/>
        <v>1658.8235294117649</v>
      </c>
      <c r="F15" s="40">
        <f t="shared" si="1"/>
        <v>9870000.0000000019</v>
      </c>
      <c r="G15" s="21">
        <f t="shared" si="2"/>
        <v>4.7907587420055909E-4</v>
      </c>
      <c r="I15" s="43" t="s">
        <v>10</v>
      </c>
      <c r="J15" s="44">
        <v>0</v>
      </c>
      <c r="K15" s="44">
        <v>0</v>
      </c>
      <c r="L15" s="45">
        <f>J15*K15</f>
        <v>0</v>
      </c>
      <c r="M15" s="46">
        <v>15000</v>
      </c>
      <c r="N15" s="47">
        <f>+J15*M15</f>
        <v>0</v>
      </c>
    </row>
    <row r="16" spans="2:15" x14ac:dyDescent="0.25">
      <c r="B16" s="38" t="s">
        <v>38</v>
      </c>
      <c r="C16" s="20">
        <v>1</v>
      </c>
      <c r="D16" s="20">
        <f>600000/F3</f>
        <v>100.84033613445378</v>
      </c>
      <c r="E16" s="20">
        <f t="shared" si="7"/>
        <v>100.84033613445378</v>
      </c>
      <c r="F16" s="40">
        <f t="shared" si="1"/>
        <v>600000</v>
      </c>
      <c r="G16" s="21">
        <f t="shared" si="2"/>
        <v>2.9123153446842495E-5</v>
      </c>
      <c r="I16" s="43" t="s">
        <v>39</v>
      </c>
      <c r="J16" s="46">
        <v>0</v>
      </c>
      <c r="K16" s="48">
        <v>0</v>
      </c>
      <c r="L16" s="45">
        <f>J16*K16</f>
        <v>0</v>
      </c>
      <c r="M16" s="46">
        <v>850</v>
      </c>
      <c r="N16" s="47">
        <f>+L16*M16</f>
        <v>0</v>
      </c>
    </row>
    <row r="17" spans="2:14" ht="15.75" thickBot="1" x14ac:dyDescent="0.3">
      <c r="B17" s="38" t="s">
        <v>40</v>
      </c>
      <c r="C17" s="20"/>
      <c r="D17" s="20"/>
      <c r="E17" s="20">
        <f>100000000/F3</f>
        <v>16806.722689075632</v>
      </c>
      <c r="F17" s="40">
        <f t="shared" si="1"/>
        <v>100000000.00000001</v>
      </c>
      <c r="G17" s="21">
        <f t="shared" si="2"/>
        <v>4.8538589078070829E-3</v>
      </c>
      <c r="I17" s="49" t="s">
        <v>11</v>
      </c>
      <c r="J17" s="50"/>
      <c r="K17" s="51"/>
      <c r="L17" s="52">
        <f>+SUM(L6:L16)</f>
        <v>0</v>
      </c>
      <c r="M17" s="52" t="e">
        <f>+N17/L17</f>
        <v>#DIV/0!</v>
      </c>
      <c r="N17" s="52">
        <f>+SUM(N6:N16)</f>
        <v>0</v>
      </c>
    </row>
    <row r="18" spans="2:14" x14ac:dyDescent="0.25">
      <c r="B18" s="53" t="s">
        <v>41</v>
      </c>
      <c r="C18" s="54">
        <v>0.03</v>
      </c>
      <c r="D18" s="20">
        <f>F13/F3</f>
        <v>2334750</v>
      </c>
      <c r="E18" s="20">
        <f t="shared" si="7"/>
        <v>70042.5</v>
      </c>
      <c r="F18" s="40">
        <f t="shared" si="1"/>
        <v>416752875</v>
      </c>
      <c r="G18" s="21">
        <f t="shared" si="2"/>
        <v>2.0228596546729618E-2</v>
      </c>
    </row>
    <row r="19" spans="2:14" x14ac:dyDescent="0.25">
      <c r="B19" s="34" t="s">
        <v>42</v>
      </c>
      <c r="C19" s="55"/>
      <c r="D19" s="55"/>
      <c r="E19" s="35">
        <f>+SUM(E13:E18)</f>
        <v>2493358.8865546221</v>
      </c>
      <c r="F19" s="56">
        <f t="shared" si="1"/>
        <v>14835485375.000002</v>
      </c>
      <c r="G19" s="37">
        <f t="shared" si="2"/>
        <v>0.72009352839085461</v>
      </c>
      <c r="I19" s="57" t="s">
        <v>43</v>
      </c>
      <c r="J19" s="58"/>
      <c r="K19" s="58"/>
      <c r="L19" s="58"/>
      <c r="M19" s="58"/>
      <c r="N19" s="58"/>
    </row>
    <row r="20" spans="2:14" x14ac:dyDescent="0.25">
      <c r="B20" s="59" t="s">
        <v>44</v>
      </c>
      <c r="C20" s="60">
        <v>1</v>
      </c>
      <c r="D20" s="61">
        <f>3000000/F3</f>
        <v>504.20168067226894</v>
      </c>
      <c r="E20" s="62">
        <f t="shared" si="7"/>
        <v>504.20168067226894</v>
      </c>
      <c r="F20" s="62">
        <f t="shared" si="1"/>
        <v>3000000</v>
      </c>
      <c r="G20" s="63">
        <f t="shared" si="2"/>
        <v>1.4561576723421248E-4</v>
      </c>
      <c r="I20" s="25" t="s">
        <v>45</v>
      </c>
      <c r="N20" s="64">
        <f>-E39</f>
        <v>-3462548.6665966385</v>
      </c>
    </row>
    <row r="21" spans="2:14" x14ac:dyDescent="0.25">
      <c r="B21" s="38" t="s">
        <v>46</v>
      </c>
      <c r="C21" s="65">
        <v>21</v>
      </c>
      <c r="D21" s="66">
        <f>300000/F3</f>
        <v>50.420168067226889</v>
      </c>
      <c r="E21" s="20">
        <f t="shared" si="7"/>
        <v>1058.8235294117646</v>
      </c>
      <c r="F21" s="20">
        <f t="shared" si="1"/>
        <v>6300000</v>
      </c>
      <c r="G21" s="21">
        <f t="shared" si="2"/>
        <v>3.0579311119184621E-4</v>
      </c>
      <c r="I21" t="s">
        <v>47</v>
      </c>
      <c r="N21" s="67">
        <f>+N17</f>
        <v>0</v>
      </c>
    </row>
    <row r="22" spans="2:14" x14ac:dyDescent="0.25">
      <c r="B22" s="38" t="s">
        <v>48</v>
      </c>
      <c r="C22" s="68">
        <v>0.01</v>
      </c>
      <c r="D22" s="69">
        <f>4564450000/F3</f>
        <v>767134.45378151257</v>
      </c>
      <c r="E22" s="20">
        <f t="shared" si="7"/>
        <v>7671.3445378151255</v>
      </c>
      <c r="F22" s="20">
        <f t="shared" si="1"/>
        <v>45644500</v>
      </c>
      <c r="G22" s="21">
        <f t="shared" si="2"/>
        <v>2.2155196291740037E-3</v>
      </c>
      <c r="I22" s="70" t="s">
        <v>49</v>
      </c>
      <c r="J22" s="70"/>
      <c r="K22" s="70"/>
      <c r="L22" s="70"/>
      <c r="M22" s="70"/>
      <c r="N22" s="71">
        <f>+N21+N20</f>
        <v>-3462548.6665966385</v>
      </c>
    </row>
    <row r="23" spans="2:14" x14ac:dyDescent="0.25">
      <c r="B23" s="38" t="s">
        <v>50</v>
      </c>
      <c r="C23" s="65">
        <v>1</v>
      </c>
      <c r="D23" s="66">
        <f>1800000/F3</f>
        <v>302.52100840336135</v>
      </c>
      <c r="E23" s="20">
        <f t="shared" si="7"/>
        <v>302.52100840336135</v>
      </c>
      <c r="F23" s="20">
        <f t="shared" si="1"/>
        <v>1800000</v>
      </c>
      <c r="G23" s="21">
        <f t="shared" si="2"/>
        <v>8.7369460340527494E-5</v>
      </c>
      <c r="I23" t="s">
        <v>51</v>
      </c>
      <c r="N23">
        <v>2</v>
      </c>
    </row>
    <row r="24" spans="2:14" ht="15.75" thickBot="1" x14ac:dyDescent="0.3">
      <c r="B24" s="38" t="s">
        <v>52</v>
      </c>
      <c r="C24" s="65">
        <v>21</v>
      </c>
      <c r="D24" s="66">
        <f>236000/F3</f>
        <v>39.663865546218489</v>
      </c>
      <c r="E24" s="20">
        <f t="shared" si="7"/>
        <v>832.94117647058829</v>
      </c>
      <c r="F24" s="20">
        <f t="shared" si="1"/>
        <v>4956000</v>
      </c>
      <c r="G24" s="21">
        <f t="shared" si="2"/>
        <v>2.4055724747091902E-4</v>
      </c>
      <c r="I24" s="72" t="s">
        <v>53</v>
      </c>
      <c r="J24" s="72"/>
      <c r="K24" s="72"/>
      <c r="L24" s="72"/>
      <c r="M24" s="72"/>
      <c r="N24" s="73">
        <f>-N22/N20/N23</f>
        <v>-0.5</v>
      </c>
    </row>
    <row r="25" spans="2:14" x14ac:dyDescent="0.25">
      <c r="B25" s="38" t="s">
        <v>54</v>
      </c>
      <c r="C25" s="65">
        <v>1</v>
      </c>
      <c r="D25" s="66">
        <f>7500000/F3</f>
        <v>1260.5042016806722</v>
      </c>
      <c r="E25" s="20">
        <f t="shared" si="7"/>
        <v>1260.5042016806722</v>
      </c>
      <c r="F25" s="20">
        <f t="shared" si="1"/>
        <v>7499999.9999999991</v>
      </c>
      <c r="G25" s="21">
        <f t="shared" si="2"/>
        <v>3.6403941808553118E-4</v>
      </c>
    </row>
    <row r="26" spans="2:14" x14ac:dyDescent="0.25">
      <c r="B26" s="34" t="s">
        <v>55</v>
      </c>
      <c r="C26" s="55"/>
      <c r="D26" s="55"/>
      <c r="E26" s="35">
        <f>+SUM(E20:E25)</f>
        <v>11630.336134453781</v>
      </c>
      <c r="F26" s="56">
        <f t="shared" si="1"/>
        <v>69200500</v>
      </c>
      <c r="G26" s="37">
        <f t="shared" si="2"/>
        <v>3.3588946334970398E-3</v>
      </c>
    </row>
    <row r="27" spans="2:14" x14ac:dyDescent="0.25">
      <c r="B27" s="88" t="s">
        <v>56</v>
      </c>
      <c r="C27" s="91">
        <v>0</v>
      </c>
      <c r="D27" s="92">
        <v>0</v>
      </c>
      <c r="E27" s="93">
        <f t="shared" si="7"/>
        <v>0</v>
      </c>
      <c r="F27" s="93">
        <f t="shared" si="1"/>
        <v>0</v>
      </c>
      <c r="G27" s="21">
        <f t="shared" si="2"/>
        <v>0</v>
      </c>
    </row>
    <row r="28" spans="2:14" x14ac:dyDescent="0.25">
      <c r="B28" s="88" t="s">
        <v>57</v>
      </c>
      <c r="C28" s="91">
        <v>0</v>
      </c>
      <c r="D28" s="92">
        <v>0</v>
      </c>
      <c r="E28" s="93">
        <f t="shared" si="7"/>
        <v>0</v>
      </c>
      <c r="F28" s="93">
        <f t="shared" si="1"/>
        <v>0</v>
      </c>
      <c r="G28" s="21">
        <f t="shared" si="2"/>
        <v>0</v>
      </c>
    </row>
    <row r="29" spans="2:14" x14ac:dyDescent="0.25">
      <c r="B29" s="88" t="s">
        <v>58</v>
      </c>
      <c r="C29" s="91">
        <v>0</v>
      </c>
      <c r="D29" s="92">
        <v>0</v>
      </c>
      <c r="E29" s="93">
        <f t="shared" si="7"/>
        <v>0</v>
      </c>
      <c r="F29" s="93">
        <f t="shared" si="1"/>
        <v>0</v>
      </c>
      <c r="G29" s="21">
        <f t="shared" si="2"/>
        <v>0</v>
      </c>
    </row>
    <row r="30" spans="2:14" x14ac:dyDescent="0.25">
      <c r="B30" s="88" t="s">
        <v>59</v>
      </c>
      <c r="C30" s="91">
        <v>0</v>
      </c>
      <c r="D30" s="92">
        <v>0</v>
      </c>
      <c r="E30" s="93">
        <f t="shared" si="7"/>
        <v>0</v>
      </c>
      <c r="F30" s="93">
        <f t="shared" si="1"/>
        <v>0</v>
      </c>
      <c r="G30" s="21">
        <f t="shared" si="2"/>
        <v>0</v>
      </c>
    </row>
    <row r="31" spans="2:14" x14ac:dyDescent="0.25">
      <c r="B31" s="39" t="s">
        <v>60</v>
      </c>
      <c r="C31" s="39"/>
      <c r="D31" s="39"/>
      <c r="E31" s="20">
        <v>10000</v>
      </c>
      <c r="F31" s="20">
        <f t="shared" si="1"/>
        <v>59500000</v>
      </c>
      <c r="G31" s="21">
        <f t="shared" si="2"/>
        <v>2.8880460501452144E-3</v>
      </c>
    </row>
    <row r="32" spans="2:14" x14ac:dyDescent="0.25">
      <c r="B32" s="34" t="s">
        <v>55</v>
      </c>
      <c r="C32" s="55"/>
      <c r="D32" s="55"/>
      <c r="E32" s="35">
        <f>+SUM(E27:E31)</f>
        <v>10000</v>
      </c>
      <c r="F32" s="56">
        <f t="shared" si="1"/>
        <v>59500000</v>
      </c>
      <c r="G32" s="37">
        <f t="shared" si="2"/>
        <v>2.8880460501452144E-3</v>
      </c>
    </row>
    <row r="33" spans="1:7" x14ac:dyDescent="0.25">
      <c r="B33" s="34" t="s">
        <v>61</v>
      </c>
      <c r="C33" s="55"/>
      <c r="D33" s="55"/>
      <c r="E33" s="35">
        <f>+E8+E12+E19+E26+E32</f>
        <v>2918639.2226890759</v>
      </c>
      <c r="F33" s="56">
        <f t="shared" si="1"/>
        <v>17365903375</v>
      </c>
      <c r="G33" s="37">
        <f t="shared" si="2"/>
        <v>0.84291644788860842</v>
      </c>
    </row>
    <row r="34" spans="1:7" x14ac:dyDescent="0.25">
      <c r="B34" s="18" t="s">
        <v>62</v>
      </c>
      <c r="C34" s="94">
        <v>0.08</v>
      </c>
      <c r="D34" s="95"/>
      <c r="E34" s="96">
        <f>+C34*$E$33</f>
        <v>233491.13781512607</v>
      </c>
      <c r="F34" s="97">
        <f>+E34*$F$3</f>
        <v>1389272270.0000002</v>
      </c>
      <c r="G34" s="98">
        <f t="shared" si="2"/>
        <v>6.7433315831088678E-2</v>
      </c>
    </row>
    <row r="35" spans="1:7" x14ac:dyDescent="0.25">
      <c r="B35" s="18" t="s">
        <v>63</v>
      </c>
      <c r="C35" s="74">
        <v>0.01</v>
      </c>
      <c r="D35" s="39"/>
      <c r="E35" s="96">
        <f t="shared" ref="E35:E37" si="8">+C35*$E$33</f>
        <v>29186.392226890759</v>
      </c>
      <c r="F35" s="20">
        <f t="shared" si="1"/>
        <v>173659033.75000003</v>
      </c>
      <c r="G35" s="21">
        <f t="shared" si="2"/>
        <v>8.4291644788860847E-3</v>
      </c>
    </row>
    <row r="36" spans="1:7" x14ac:dyDescent="0.25">
      <c r="B36" s="18" t="s">
        <v>64</v>
      </c>
      <c r="C36" s="74">
        <v>0.02</v>
      </c>
      <c r="D36" s="39"/>
      <c r="E36" s="96">
        <f t="shared" si="8"/>
        <v>58372.784453781518</v>
      </c>
      <c r="F36" s="20">
        <f t="shared" si="1"/>
        <v>347318067.50000006</v>
      </c>
      <c r="G36" s="21">
        <f t="shared" si="2"/>
        <v>1.6858328957772169E-2</v>
      </c>
    </row>
    <row r="37" spans="1:7" x14ac:dyDescent="0.25">
      <c r="A37" s="76"/>
      <c r="B37" s="18" t="s">
        <v>65</v>
      </c>
      <c r="C37" s="74">
        <v>5.5E-2</v>
      </c>
      <c r="D37" s="39"/>
      <c r="E37" s="96">
        <f t="shared" si="8"/>
        <v>160525.15724789919</v>
      </c>
      <c r="F37" s="20">
        <f t="shared" si="1"/>
        <v>955124685.62500012</v>
      </c>
      <c r="G37" s="21">
        <f t="shared" si="2"/>
        <v>4.6360404633873468E-2</v>
      </c>
    </row>
    <row r="38" spans="1:7" x14ac:dyDescent="0.25">
      <c r="B38" s="18" t="s">
        <v>66</v>
      </c>
      <c r="C38" s="74">
        <v>2.5000000000000001E-2</v>
      </c>
      <c r="D38" s="39"/>
      <c r="E38" s="75">
        <f>+C38*E19</f>
        <v>62333.972163865554</v>
      </c>
      <c r="F38" s="20">
        <f t="shared" si="1"/>
        <v>370887134.37500006</v>
      </c>
      <c r="G38" s="21">
        <f t="shared" si="2"/>
        <v>1.8002338209771363E-2</v>
      </c>
    </row>
    <row r="39" spans="1:7" x14ac:dyDescent="0.25">
      <c r="B39" s="34" t="s">
        <v>67</v>
      </c>
      <c r="C39" s="55"/>
      <c r="D39" s="55"/>
      <c r="E39" s="35">
        <f>+SUM(E33:E38)</f>
        <v>3462548.6665966385</v>
      </c>
      <c r="F39" s="56">
        <f t="shared" si="1"/>
        <v>20602164566.25</v>
      </c>
      <c r="G39" s="37">
        <f t="shared" si="2"/>
        <v>1</v>
      </c>
    </row>
    <row r="41" spans="1:7" x14ac:dyDescent="0.25">
      <c r="B41" s="77" t="s">
        <v>68</v>
      </c>
      <c r="C41" s="78"/>
      <c r="D41" s="78"/>
      <c r="E41" s="79">
        <f>'Area Construcción'!E22</f>
        <v>0</v>
      </c>
      <c r="F41" s="80"/>
    </row>
    <row r="42" spans="1:7" x14ac:dyDescent="0.25">
      <c r="B42" s="81" t="s">
        <v>69</v>
      </c>
      <c r="C42" s="82"/>
      <c r="D42" s="82"/>
      <c r="E42" s="83" t="e">
        <f>+E39/E41</f>
        <v>#DIV/0!</v>
      </c>
      <c r="F42" s="16"/>
    </row>
    <row r="43" spans="1:7" x14ac:dyDescent="0.25">
      <c r="G43" s="16" t="s">
        <v>78</v>
      </c>
    </row>
    <row r="44" spans="1:7" x14ac:dyDescent="0.25">
      <c r="E44" s="84"/>
    </row>
  </sheetData>
  <mergeCells count="1">
    <mergeCell ref="I4:N4"/>
  </mergeCells>
  <conditionalFormatting sqref="G5:G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190" scale="75" orientation="landscape" verticalDpi="0" r:id="rId1"/>
  <ignoredErrors>
    <ignoredError sqref="E17:E30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Area Construcción</vt:lpstr>
      <vt:lpstr>Inversión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Alborta</dc:creator>
  <cp:lastModifiedBy>Juan Josè Castillo</cp:lastModifiedBy>
  <cp:lastPrinted>2026-04-28T20:47:17Z</cp:lastPrinted>
  <dcterms:created xsi:type="dcterms:W3CDTF">2025-09-04T14:54:24Z</dcterms:created>
  <dcterms:modified xsi:type="dcterms:W3CDTF">2026-08-13T13:35:53Z</dcterms:modified>
</cp:coreProperties>
</file>