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5.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os_Originales" sheetId="1" state="visible" r:id="rId3"/>
    <sheet name="Alquileres_Unidad" sheetId="2" state="visible" r:id="rId4"/>
    <sheet name="Conciliacion" sheetId="3" state="visible" r:id="rId5"/>
    <sheet name="Ingresos_Gastos" sheetId="4" state="visible" r:id="rId6"/>
    <sheet name="Rentabilidad" sheetId="5" state="visible" r:id="rId7"/>
    <sheet name="Parametros" sheetId="6" state="visible" r:id="rId8"/>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D8" authorId="0">
      <text>
        <r>
          <rPr>
            <sz val="10"/>
            <rFont val="Arial"/>
            <family val="2"/>
          </rPr>
          <t xml:space="preserve">La planilla muestra 'Bruta (11,3%)' con un decimal; el recálculo da 11,31%. Diferencia solo de redondeo.</t>
        </r>
      </text>
    </comment>
  </commentList>
</comments>
</file>

<file path=xl/sharedStrings.xml><?xml version="1.0" encoding="utf-8"?>
<sst xmlns="http://schemas.openxmlformats.org/spreadsheetml/2006/main" count="381" uniqueCount="219">
  <si>
    <t xml:space="preserve">Datos originales — transcripción literal de las imágenes recibidas</t>
  </si>
  <si>
    <t xml:space="preserve">Texto y orden conservados tal como aparecen en las imágenes. Sin cálculos en esta hoja.</t>
  </si>
  <si>
    <t xml:space="preserve">Imagen 1 — Detalle de alquileres (columnas B, C, D de la captura)</t>
  </si>
  <si>
    <t xml:space="preserve">Columna B</t>
  </si>
  <si>
    <t xml:space="preserve">Columna C</t>
  </si>
  <si>
    <t xml:space="preserve">Columna D</t>
  </si>
  <si>
    <t xml:space="preserve">Edificio de departamentos</t>
  </si>
  <si>
    <t xml:space="preserve">Tercer piso</t>
  </si>
  <si>
    <t xml:space="preserve">Inquilino</t>
  </si>
  <si>
    <t xml:space="preserve">2 dorm.</t>
  </si>
  <si>
    <t xml:space="preserve">1 dorm.</t>
  </si>
  <si>
    <t xml:space="preserve">Segundo piso</t>
  </si>
  <si>
    <t xml:space="preserve">Primer piso</t>
  </si>
  <si>
    <t xml:space="preserve">3 dorm.</t>
  </si>
  <si>
    <t xml:space="preserve">Planta Baja</t>
  </si>
  <si>
    <t xml:space="preserve">Cochera</t>
  </si>
  <si>
    <t xml:space="preserve">Cochera y dpto</t>
  </si>
  <si>
    <t xml:space="preserve">TOTAL</t>
  </si>
  <si>
    <t xml:space="preserve">Cambio</t>
  </si>
  <si>
    <t xml:space="preserve">Nota: la última fila de la captura muestra 'Cambio | 6100 | ₲ 3.205'; el '₲' delante de 3.205 es de la fuente (es un valor en USD).</t>
  </si>
  <si>
    <t xml:space="preserve">Imagen 2 — Planilla 'RENTABILIDAD EDIFICIO DE APARTAMENTOS'</t>
  </si>
  <si>
    <t xml:space="preserve">Precio USD</t>
  </si>
  <si>
    <t xml:space="preserve">Renta Anual</t>
  </si>
  <si>
    <t xml:space="preserve">USD Mensual</t>
  </si>
  <si>
    <t xml:space="preserve">Gs Mensual</t>
  </si>
  <si>
    <t xml:space="preserve">Cambio / USD Anual</t>
  </si>
  <si>
    <t xml:space="preserve">Bruta (11,3%)</t>
  </si>
  <si>
    <t xml:space="preserve">6100 / 38.459</t>
  </si>
  <si>
    <t xml:space="preserve">Impuesto anual</t>
  </si>
  <si>
    <t xml:space="preserve">2.764</t>
  </si>
  <si>
    <t xml:space="preserve">Gastos anuales</t>
  </si>
  <si>
    <t xml:space="preserve">1.200</t>
  </si>
  <si>
    <t xml:space="preserve">Renta Neta</t>
  </si>
  <si>
    <t xml:space="preserve">34.495</t>
  </si>
  <si>
    <t xml:space="preserve">Renta Anual Neta</t>
  </si>
  <si>
    <t xml:space="preserve">10,15%</t>
  </si>
  <si>
    <t xml:space="preserve">340.000 | 100% | 34.495</t>
  </si>
  <si>
    <t xml:space="preserve">34.495 | X | 340.000</t>
  </si>
  <si>
    <t xml:space="preserve">(regla de tres de la fuente)</t>
  </si>
  <si>
    <t xml:space="preserve">Nota: en la planilla, 'Impuesto anual' y 'Gastos anuales' aparecen en la columna 'USD Mensual' pero sus valores son anuales (se repiten en 'USD Anual').</t>
  </si>
  <si>
    <t xml:space="preserve">Alquileres por unidad — transcripción estructurada (estado: TRANSCRITO, no verificado)</t>
  </si>
  <si>
    <t xml:space="preserve">Leyenda: azul = dato recibido (fuente: imágenes enviadas 2026-10-02); negro = fórmula; verde = vínculo a otra hoja; rojo itálica = PENDIENTE de confirmar (no es cero).</t>
  </si>
  <si>
    <t xml:space="preserve">N°</t>
  </si>
  <si>
    <t xml:space="preserve">Ref. provisoria</t>
  </si>
  <si>
    <t xml:space="preserve">Piso</t>
  </si>
  <si>
    <t xml:space="preserve">Texto original (col. C)</t>
  </si>
  <si>
    <t xml:space="preserve">Tipología</t>
  </si>
  <si>
    <t xml:space="preserve">Concepto</t>
  </si>
  <si>
    <t xml:space="preserve">Moneda</t>
  </si>
  <si>
    <t xml:space="preserve">Alquiler mensual (Gs)</t>
  </si>
  <si>
    <t xml:space="preserve">Equivalente USD (TC planilla)</t>
  </si>
  <si>
    <t xml:space="preserve">Estado de verificación</t>
  </si>
  <si>
    <t xml:space="preserve">Observación</t>
  </si>
  <si>
    <t xml:space="preserve">P3-01</t>
  </si>
  <si>
    <t xml:space="preserve">2 dormitorios</t>
  </si>
  <si>
    <t xml:space="preserve">Departamento</t>
  </si>
  <si>
    <t xml:space="preserve">PYG</t>
  </si>
  <si>
    <t xml:space="preserve">Transcrito — sin contrato ni comprobante de cobro</t>
  </si>
  <si>
    <t xml:space="preserve">P3-02</t>
  </si>
  <si>
    <t xml:space="preserve">P3-03</t>
  </si>
  <si>
    <t xml:space="preserve">1 dormitorio</t>
  </si>
  <si>
    <t xml:space="preserve">P3-04</t>
  </si>
  <si>
    <t xml:space="preserve">P2-01</t>
  </si>
  <si>
    <t xml:space="preserve">P2-02</t>
  </si>
  <si>
    <t xml:space="preserve">P2-03</t>
  </si>
  <si>
    <t xml:space="preserve">P2-04</t>
  </si>
  <si>
    <t xml:space="preserve">P2-05</t>
  </si>
  <si>
    <t xml:space="preserve">P1-01</t>
  </si>
  <si>
    <t xml:space="preserve">P1-02</t>
  </si>
  <si>
    <t xml:space="preserve">3 dormitorios</t>
  </si>
  <si>
    <t xml:space="preserve">PB-01</t>
  </si>
  <si>
    <t xml:space="preserve">Planta baja</t>
  </si>
  <si>
    <t xml:space="preserve">PB-02</t>
  </si>
  <si>
    <t xml:space="preserve">PB-03</t>
  </si>
  <si>
    <t xml:space="preserve">No aplica</t>
  </si>
  <si>
    <t xml:space="preserve">Concepto no incluido en el mix comercial informado (13 dptos + 1 local). Confirmar qué es y si está incluido en el precio.</t>
  </si>
  <si>
    <t xml:space="preserve">PB-04</t>
  </si>
  <si>
    <t xml:space="preserve">A confirmar</t>
  </si>
  <si>
    <t xml:space="preserve">Mixto — a confirmar</t>
  </si>
  <si>
    <t xml:space="preserve">NO interpretado como local comercial ni como unidad adicional. Confirmar a qué unidad corresponde y si agrupa o duplica ingresos.</t>
  </si>
  <si>
    <t xml:space="preserve">La 'Ref. provisoria' es un identificador de trabajo de Meridiano según el orden de la captura; no corresponde a la numeración real de las unidades (no informada).</t>
  </si>
  <si>
    <t xml:space="preserve">Ningún dato de inquilinos (nombres, contactos) se registra en este archivo: la fuente solo dice 'Inquilino'.</t>
  </si>
  <si>
    <t xml:space="preserve">Conciliación — composición informada vs. detalle de alquileres</t>
  </si>
  <si>
    <t xml:space="preserve">Mix comercial informado</t>
  </si>
  <si>
    <t xml:space="preserve">Filas en el detalle</t>
  </si>
  <si>
    <t xml:space="preserve">Diferencia</t>
  </si>
  <si>
    <t xml:space="preserve">Resultado</t>
  </si>
  <si>
    <t xml:space="preserve">Departamentos 1 dormitorio</t>
  </si>
  <si>
    <t xml:space="preserve">Departamentos 2 dormitorios</t>
  </si>
  <si>
    <t xml:space="preserve">Departamentos 3 dormitorios</t>
  </si>
  <si>
    <t xml:space="preserve">Local comercial</t>
  </si>
  <si>
    <t xml:space="preserve">El local comercial no aparece identificado expresamente en el detalle.</t>
  </si>
  <si>
    <t xml:space="preserve">Cochera (sola)</t>
  </si>
  <si>
    <t xml:space="preserve">Concepto no mencionado en la composición comercial.</t>
  </si>
  <si>
    <t xml:space="preserve">'Cochera y dpto' (concepto mixto)</t>
  </si>
  <si>
    <t xml:space="preserve">Si incluye un departamento, el total de dptos sería 14, no 13.</t>
  </si>
  <si>
    <t xml:space="preserve">Total departamentos (filas 'Departamento')</t>
  </si>
  <si>
    <t xml:space="preserve">Las 13 filas con tipología coinciden con el mix 6 + 6 + 1.</t>
  </si>
  <si>
    <t xml:space="preserve">Control de suma del detalle</t>
  </si>
  <si>
    <t xml:space="preserve">Control</t>
  </si>
  <si>
    <t xml:space="preserve">Valor</t>
  </si>
  <si>
    <t xml:space="preserve">Suma recalculada de las 15 filas (Gs)</t>
  </si>
  <si>
    <t xml:space="preserve">Total indicado en la fuente (Gs)</t>
  </si>
  <si>
    <t xml:space="preserve">Diferencia (Gs)</t>
  </si>
  <si>
    <t xml:space="preserve">Verifica la aritmética, no la composición ni el cobro efectivo.</t>
  </si>
  <si>
    <t xml:space="preserve">Subtotal por piso (Gs)</t>
  </si>
  <si>
    <t xml:space="preserve">Filas</t>
  </si>
  <si>
    <t xml:space="preserve">% del total</t>
  </si>
  <si>
    <t xml:space="preserve">Total</t>
  </si>
  <si>
    <t xml:space="preserve">Estado de la conciliación</t>
  </si>
  <si>
    <t xml:space="preserve">Preguntas abiertas</t>
  </si>
  <si>
    <t xml:space="preserve">1. ¿A qué unidad corresponde la fila 'Cochera y dpto' (Gs 1.200.000)? ¿Es un departamento adicional, el local comercial u otro concepto?</t>
  </si>
  <si>
    <t xml:space="preserve">2. ¿Dónde está incluido el alquiler del local comercial?</t>
  </si>
  <si>
    <t xml:space="preserve">3. ¿Algún concepto agrupa varias unidades o duplica ingresos?</t>
  </si>
  <si>
    <t xml:space="preserve">4. ¿Cuál es la fecha de vigencia de los alquileres y del tipo de cambio de Gs 6.100?</t>
  </si>
  <si>
    <t xml:space="preserve">5. Contratos vigentes, ocupación real y cobro efectivo de los últimos 12 meses (extractos o recibos).</t>
  </si>
  <si>
    <t xml:space="preserve">6. ¿La 'Cochera' (Gs 700.000) se alquila a un tercero ajeno al edificio? ¿Está incluida en la venta?</t>
  </si>
  <si>
    <t xml:space="preserve">Ingresos y egresos — informados vs. pendientes</t>
  </si>
  <si>
    <t xml:space="preserve">Mensual</t>
  </si>
  <si>
    <t xml:space="preserve">Anual (USD)</t>
  </si>
  <si>
    <t xml:space="preserve">Estado</t>
  </si>
  <si>
    <t xml:space="preserve">Fuente / observación</t>
  </si>
  <si>
    <t xml:space="preserve">Ingreso mensual informado (Gs)</t>
  </si>
  <si>
    <t xml:space="preserve">Recibido (transcrito)</t>
  </si>
  <si>
    <t xml:space="preserve">Suma de la tabla; composición no conciliada (ver Conciliacion).</t>
  </si>
  <si>
    <t xml:space="preserve">Ingreso mensual USD (TC planilla)</t>
  </si>
  <si>
    <t xml:space="preserve">Calculado</t>
  </si>
  <si>
    <t xml:space="preserve">Gs mensual / tipo de cambio de la planilla (6.100).</t>
  </si>
  <si>
    <t xml:space="preserve">Ingreso bruto anual informado (USD)</t>
  </si>
  <si>
    <t xml:space="preserve">Supone 12 meses de cobro completo: sin vacancia ni morosidad (no verificado).</t>
  </si>
  <si>
    <t xml:space="preserve">Egresos informados en la planilla</t>
  </si>
  <si>
    <t xml:space="preserve">Recibido — alcance a confirmar</t>
  </si>
  <si>
    <t xml:space="preserve">No se informa qué impuesto(s) cubre (IVA, IRP, inmobiliario u otro). Ver Rentabilidad: equivale al 7,19% del bruto.</t>
  </si>
  <si>
    <t xml:space="preserve">No se informa qué conceptos cubre.</t>
  </si>
  <si>
    <t xml:space="preserve">Total egresos informados</t>
  </si>
  <si>
    <t xml:space="preserve">Egresos NO informados (pendientes — no son cero)</t>
  </si>
  <si>
    <t xml:space="preserve">Mantenimiento y reparaciones</t>
  </si>
  <si>
    <t xml:space="preserve">PENDIENTE</t>
  </si>
  <si>
    <t xml:space="preserve">Celda vacía a propósito: completar con dato documentado.</t>
  </si>
  <si>
    <t xml:space="preserve">Administración del edificio / gestión de alquileres</t>
  </si>
  <si>
    <t xml:space="preserve">Seguros</t>
  </si>
  <si>
    <t xml:space="preserve">Vacancia (meses sin inquilino)</t>
  </si>
  <si>
    <t xml:space="preserve">Morosidad / incobrables</t>
  </si>
  <si>
    <t xml:space="preserve">Reserva para reposiciones (CAPEX)</t>
  </si>
  <si>
    <t xml:space="preserve">Servicios a cargo del propietario (áreas comunes, agua, luz)</t>
  </si>
  <si>
    <t xml:space="preserve">Impuesto inmobiliario (si no está incluido arriba)</t>
  </si>
  <si>
    <t xml:space="preserve">Cantidad de egresos pendientes de dato</t>
  </si>
  <si>
    <t xml:space="preserve">Resultado neto según gastos informados (USD/año)</t>
  </si>
  <si>
    <t xml:space="preserve">Solo descuenta los dos egresos de la planilla. NO es una renta neta definitiva.</t>
  </si>
  <si>
    <t xml:space="preserve">Resultado neto incluyendo egresos pendientes cargados (USD/año)</t>
  </si>
  <si>
    <t xml:space="preserve">Rentabilidad — recálculo con precisión completa</t>
  </si>
  <si>
    <t xml:space="preserve">Indicador</t>
  </si>
  <si>
    <t xml:space="preserve">Recalculado</t>
  </si>
  <si>
    <t xml:space="preserve">Planilla recibida</t>
  </si>
  <si>
    <t xml:space="preserve">Base de cálculo</t>
  </si>
  <si>
    <t xml:space="preserve">Ingreso mensual (USD)</t>
  </si>
  <si>
    <t xml:space="preserve">Gs 19.550.000 / 6.100</t>
  </si>
  <si>
    <t xml:space="preserve">Ingreso bruto anual (USD)</t>
  </si>
  <si>
    <t xml:space="preserve">Ingreso mensual USD × 12</t>
  </si>
  <si>
    <t xml:space="preserve">Resultado neto según gastos informados (USD)</t>
  </si>
  <si>
    <t xml:space="preserve">Bruto − impuesto (2.764) − gastos (1.200)</t>
  </si>
  <si>
    <t xml:space="preserve">Rentabilidad bruta sobre precio</t>
  </si>
  <si>
    <t xml:space="preserve">Bruto anual / precio de venta (USD 340.000)</t>
  </si>
  <si>
    <t xml:space="preserve">Rentabilidad neta según gastos informados, sobre precio</t>
  </si>
  <si>
    <t xml:space="preserve">Resultado neto / precio de venta. Sin gastos de adquisición en el denominador.</t>
  </si>
  <si>
    <t xml:space="preserve">Observaciones de la auditoría</t>
  </si>
  <si>
    <t xml:space="preserve">Impuesto anual / ingreso bruto anual</t>
  </si>
  <si>
    <t xml:space="preserve">No coincide con 5% ni 10% del bruto: la composición del impuesto debe confirmarse.</t>
  </si>
  <si>
    <t xml:space="preserve">Ingreso anual de la descripción comercial (USD)</t>
  </si>
  <si>
    <t xml:space="preserve">Los USD 34.500 de la descripción son el resultado NETO redondeado, no el ingreso bruto (USD 38.459).</t>
  </si>
  <si>
    <t xml:space="preserve">Relación 'bruta' de la descripción (10,15%)</t>
  </si>
  <si>
    <t xml:space="preserve">El 10,15% es rentabilidad NETA según gastos informados, no bruta. La bruta es 11,31%.</t>
  </si>
  <si>
    <t xml:space="preserve">Precio implícito por departamento (USD, referencia)</t>
  </si>
  <si>
    <t xml:space="preserve">Precio total / 13 departamentos. Solo referencia aritmética: no es tasación ni valor por unidad.</t>
  </si>
  <si>
    <t xml:space="preserve">Múltiplo precio / ingreso bruto anual (veces)</t>
  </si>
  <si>
    <t xml:space="preserve">Años de ingreso bruto informado equivalentes al precio, sin egresos ni vacancia.</t>
  </si>
  <si>
    <t xml:space="preserve">Escenario de tipo de cambio</t>
  </si>
  <si>
    <t xml:space="preserve">Escenario</t>
  </si>
  <si>
    <t xml:space="preserve">TC (Gs/USD)</t>
  </si>
  <si>
    <t xml:space="preserve">Bruto anual (USD)</t>
  </si>
  <si>
    <t xml:space="preserve">Rent. bruta</t>
  </si>
  <si>
    <t xml:space="preserve">Rent. neta según gastos informados / Fuente</t>
  </si>
  <si>
    <t xml:space="preserve">Original — planilla recibida</t>
  </si>
  <si>
    <t xml:space="preserve">Actualizado — TC autorizado (pendiente)</t>
  </si>
  <si>
    <t xml:space="preserve">Nota: impuesto y gastos se mantienen en USD fijos en ambos escenarios (así figuran en la planilla). Las cifras son indicadores sobre el precio de venta, no retorno sobre inversión total ni rentabilidad garantizada.</t>
  </si>
  <si>
    <t xml:space="preserve">Parámetros — datos recibidos (sin modificar)</t>
  </si>
  <si>
    <t xml:space="preserve">Parámetro</t>
  </si>
  <si>
    <t xml:space="preserve">Precio de venta (USD)</t>
  </si>
  <si>
    <t xml:space="preserve">Recibido</t>
  </si>
  <si>
    <t xml:space="preserve">Pedido del founder + planilla de rentabilidad (celda 'Precio USD').</t>
  </si>
  <si>
    <t xml:space="preserve">Tipo de cambio de la planilla (Gs por USD)</t>
  </si>
  <si>
    <t xml:space="preserve">Planilla de rentabilidad y detalle de alquileres. Fecha de vigencia NO informada; no es cotización actual.</t>
  </si>
  <si>
    <t xml:space="preserve">Total mensual indicado en el detalle (Gs)</t>
  </si>
  <si>
    <t xml:space="preserve">Fila 'TOTAL' del detalle de alquileres.</t>
  </si>
  <si>
    <t xml:space="preserve">Impuesto anual informado (USD)</t>
  </si>
  <si>
    <t xml:space="preserve">Planilla de rentabilidad. Qué impuesto(s) cubre: PENDIENTE.</t>
  </si>
  <si>
    <t xml:space="preserve">Gastos anuales informados (USD)</t>
  </si>
  <si>
    <t xml:space="preserve">Planilla de rentabilidad. Qué conceptos cubre: PENDIENTE.</t>
  </si>
  <si>
    <t xml:space="preserve">Ingreso mensual USD indicado en planilla</t>
  </si>
  <si>
    <t xml:space="preserve">Planilla de rentabilidad (redondeado en la fuente).</t>
  </si>
  <si>
    <t xml:space="preserve">Ingreso bruto anual USD indicado en planilla</t>
  </si>
  <si>
    <t xml:space="preserve">Planilla de rentabilidad, columna 'USD Anual'.</t>
  </si>
  <si>
    <t xml:space="preserve">Renta neta anual USD indicada en planilla</t>
  </si>
  <si>
    <t xml:space="preserve">Planilla de rentabilidad.</t>
  </si>
  <si>
    <t xml:space="preserve">Rentabilidad bruta indicada en planilla</t>
  </si>
  <si>
    <t xml:space="preserve">Texto 'Bruta (11,3%)' de la planilla.</t>
  </si>
  <si>
    <t xml:space="preserve">Rentabilidad neta indicada en planilla</t>
  </si>
  <si>
    <t xml:space="preserve">Celda 'Renta Anual Neta 10,15%' de la planilla.</t>
  </si>
  <si>
    <t xml:space="preserve">Ingreso anual mencionado en la descripción comercial (USD)</t>
  </si>
  <si>
    <t xml:space="preserve">Descripción del aviso: 'ingresos anuales aprox. USD 34.500' — corresponde al resultado NETO de la planilla, no al bruto.</t>
  </si>
  <si>
    <t xml:space="preserve">Departamentos de 1 dormitorio (mix comercial)</t>
  </si>
  <si>
    <t xml:space="preserve">Descripción comercial.</t>
  </si>
  <si>
    <t xml:space="preserve">Departamentos de 2 dormitorios (mix comercial)</t>
  </si>
  <si>
    <t xml:space="preserve">Departamentos de 3 dormitorios (mix comercial)</t>
  </si>
  <si>
    <t xml:space="preserve">Locales comerciales (mix comercial)</t>
  </si>
  <si>
    <t xml:space="preserve">Tipo de cambio alternativo autorizado (Gs por USD)</t>
  </si>
  <si>
    <t xml:space="preserve">Vacío a propósito: cargar solo una cotización autorizada y verificable, con fuente y fecha en la fila siguiente.</t>
  </si>
  <si>
    <t xml:space="preserve">Fuente y fecha del tipo de cambio alternativo</t>
  </si>
  <si>
    <t xml:space="preserve">Ej.: 'BCP, cotización de referencia, dd/mm/aaaa'.</t>
  </si>
</sst>
</file>

<file path=xl/styles.xml><?xml version="1.0" encoding="utf-8"?>
<styleSheet xmlns="http://schemas.openxmlformats.org/spreadsheetml/2006/main">
  <numFmts count="10">
    <numFmt numFmtId="164" formatCode="General"/>
    <numFmt numFmtId="165" formatCode="&quot;₲ &quot;#,##0"/>
    <numFmt numFmtId="166" formatCode="#,##0"/>
    <numFmt numFmtId="167" formatCode="&quot;USD &quot;#,##0.00"/>
    <numFmt numFmtId="168" formatCode="0"/>
    <numFmt numFmtId="169" formatCode="0;\-0;0"/>
    <numFmt numFmtId="170" formatCode="0.0%"/>
    <numFmt numFmtId="171" formatCode="&quot;USD &quot;#,##0"/>
    <numFmt numFmtId="172" formatCode="0.00%"/>
    <numFmt numFmtId="173" formatCode="0.00"/>
  </numFmts>
  <fonts count="13">
    <font>
      <sz val="11"/>
      <color theme="1"/>
      <name val="Calibri"/>
      <family val="2"/>
      <charset val="1"/>
    </font>
    <font>
      <sz val="10"/>
      <name val="Arial"/>
      <family val="0"/>
    </font>
    <font>
      <sz val="10"/>
      <name val="Arial"/>
      <family val="0"/>
    </font>
    <font>
      <sz val="10"/>
      <name val="Arial"/>
      <family val="0"/>
    </font>
    <font>
      <b val="true"/>
      <sz val="13"/>
      <color rgb="FF14313A"/>
      <name val="Arial"/>
      <family val="0"/>
      <charset val="1"/>
    </font>
    <font>
      <i val="true"/>
      <sz val="9"/>
      <color rgb="FF6B6154"/>
      <name val="Arial"/>
      <family val="0"/>
      <charset val="1"/>
    </font>
    <font>
      <b val="true"/>
      <sz val="10"/>
      <name val="Arial"/>
      <family val="0"/>
      <charset val="1"/>
    </font>
    <font>
      <b val="true"/>
      <sz val="10"/>
      <color rgb="FFF3EDE3"/>
      <name val="Arial"/>
      <family val="0"/>
      <charset val="1"/>
    </font>
    <font>
      <sz val="10"/>
      <color rgb="FF0000FF"/>
      <name val="Arial"/>
      <family val="0"/>
      <charset val="1"/>
    </font>
    <font>
      <sz val="10"/>
      <color rgb="FF000000"/>
      <name val="Arial"/>
      <family val="0"/>
      <charset val="1"/>
    </font>
    <font>
      <sz val="10"/>
      <color rgb="FF008000"/>
      <name val="Arial"/>
      <family val="0"/>
      <charset val="1"/>
    </font>
    <font>
      <i val="true"/>
      <sz val="10"/>
      <color rgb="FF8B3323"/>
      <name val="Arial"/>
      <family val="0"/>
      <charset val="1"/>
    </font>
    <font>
      <sz val="10"/>
      <name val="Arial"/>
      <family val="2"/>
    </font>
  </fonts>
  <fills count="4">
    <fill>
      <patternFill patternType="none"/>
    </fill>
    <fill>
      <patternFill patternType="gray125"/>
    </fill>
    <fill>
      <patternFill patternType="solid">
        <fgColor rgb="FF14313A"/>
        <bgColor rgb="FF003366"/>
      </patternFill>
    </fill>
    <fill>
      <patternFill patternType="solid">
        <fgColor rgb="FFFBEFE9"/>
        <bgColor rgb="FFF3EDE3"/>
      </patternFill>
    </fill>
  </fills>
  <borders count="2">
    <border diagonalUp="false" diagonalDown="false">
      <left/>
      <right/>
      <top/>
      <bottom/>
      <diagonal/>
    </border>
    <border diagonalUp="false" diagonalDown="false">
      <left style="thin">
        <color rgb="FFDAD2C0"/>
      </left>
      <right style="thin">
        <color rgb="FFDAD2C0"/>
      </right>
      <top style="thin">
        <color rgb="FFDAD2C0"/>
      </top>
      <bottom style="thin">
        <color rgb="FFDAD2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71" fontId="10" fillId="0" borderId="1" xfId="0" applyFont="true" applyBorder="true" applyAlignment="false" applyProtection="false">
      <alignment horizontal="general" vertical="bottom" textRotation="0" wrapText="false" indent="0" shrinkToFit="false"/>
      <protection locked="true" hidden="false"/>
    </xf>
    <xf numFmtId="171" fontId="6" fillId="0" borderId="1" xfId="0" applyFont="true" applyBorder="true" applyAlignment="false" applyProtection="false">
      <alignment horizontal="general" vertical="bottom" textRotation="0" wrapText="false" indent="0" shrinkToFit="false"/>
      <protection locked="true" hidden="false"/>
    </xf>
    <xf numFmtId="171" fontId="11"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72" fontId="9" fillId="0" borderId="1" xfId="0" applyFont="true" applyBorder="true" applyAlignment="false" applyProtection="false">
      <alignment horizontal="general" vertical="bottom" textRotation="0" wrapText="false" indent="0" shrinkToFit="false"/>
      <protection locked="true" hidden="false"/>
    </xf>
    <xf numFmtId="172" fontId="10" fillId="0" borderId="1" xfId="0" applyFont="true" applyBorder="tru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xf numFmtId="173" fontId="9"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BEFE9"/>
      <rgbColor rgb="FFFF0000"/>
      <rgbColor rgb="FF00FF00"/>
      <rgbColor rgb="FF0000FF"/>
      <rgbColor rgb="FFFFFF00"/>
      <rgbColor rgb="FFFF00FF"/>
      <rgbColor rgb="FF00FFFF"/>
      <rgbColor rgb="FF800000"/>
      <rgbColor rgb="FF008000"/>
      <rgbColor rgb="FF000080"/>
      <rgbColor rgb="FF808000"/>
      <rgbColor rgb="FF800080"/>
      <rgbColor rgb="FF008080"/>
      <rgbColor rgb="FFDAD2C0"/>
      <rgbColor rgb="FF808080"/>
      <rgbColor rgb="FF9999FF"/>
      <rgbColor rgb="FF993366"/>
      <rgbColor rgb="FFF3EDE3"/>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6154"/>
      <rgbColor rgb="FF969696"/>
      <rgbColor rgb="FF003366"/>
      <rgbColor rgb="FF339966"/>
      <rgbColor rgb="FF003300"/>
      <rgbColor rgb="FF333300"/>
      <rgbColor rgb="FF8B3323"/>
      <rgbColor rgb="FF993366"/>
      <rgbColor rgb="FF333399"/>
      <rgbColor rgb="FF1431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1" style="0" width="16"/>
    <col collapsed="false" customWidth="true" hidden="false" outlineLevel="0" max="3" min="3" style="0" width="18"/>
    <col collapsed="false" customWidth="true" hidden="false" outlineLevel="0" max="5" min="4" style="0" width="16"/>
  </cols>
  <sheetData>
    <row r="1" customFormat="false" ht="16.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30" hidden="false" customHeight="true" outlineLevel="0" collapsed="false">
      <c r="A5" s="4" t="s">
        <v>3</v>
      </c>
      <c r="B5" s="4" t="s">
        <v>4</v>
      </c>
      <c r="C5" s="4" t="s">
        <v>5</v>
      </c>
    </row>
    <row r="6" customFormat="false" ht="15" hidden="false" customHeight="false" outlineLevel="0" collapsed="false">
      <c r="A6" s="5"/>
      <c r="B6" s="5" t="s">
        <v>6</v>
      </c>
      <c r="C6" s="5"/>
    </row>
    <row r="7" customFormat="false" ht="15" hidden="false" customHeight="false" outlineLevel="0" collapsed="false">
      <c r="A7" s="5"/>
      <c r="B7" s="5" t="s">
        <v>7</v>
      </c>
      <c r="C7" s="5"/>
    </row>
    <row r="8" customFormat="false" ht="15" hidden="false" customHeight="false" outlineLevel="0" collapsed="false">
      <c r="A8" s="5" t="s">
        <v>8</v>
      </c>
      <c r="B8" s="5" t="s">
        <v>9</v>
      </c>
      <c r="C8" s="6" t="n">
        <v>1500000</v>
      </c>
    </row>
    <row r="9" customFormat="false" ht="15" hidden="false" customHeight="false" outlineLevel="0" collapsed="false">
      <c r="A9" s="5" t="s">
        <v>8</v>
      </c>
      <c r="B9" s="5" t="s">
        <v>9</v>
      </c>
      <c r="C9" s="6" t="n">
        <v>1500000</v>
      </c>
    </row>
    <row r="10" customFormat="false" ht="15" hidden="false" customHeight="false" outlineLevel="0" collapsed="false">
      <c r="A10" s="5" t="s">
        <v>8</v>
      </c>
      <c r="B10" s="5" t="s">
        <v>10</v>
      </c>
      <c r="C10" s="6" t="n">
        <v>1200000</v>
      </c>
    </row>
    <row r="11" customFormat="false" ht="15" hidden="false" customHeight="false" outlineLevel="0" collapsed="false">
      <c r="A11" s="5" t="s">
        <v>8</v>
      </c>
      <c r="B11" s="5" t="s">
        <v>10</v>
      </c>
      <c r="C11" s="6" t="n">
        <v>1100000</v>
      </c>
    </row>
    <row r="12" customFormat="false" ht="15" hidden="false" customHeight="false" outlineLevel="0" collapsed="false">
      <c r="A12" s="5"/>
      <c r="B12" s="5" t="s">
        <v>11</v>
      </c>
      <c r="C12" s="5"/>
    </row>
    <row r="13" customFormat="false" ht="15" hidden="false" customHeight="false" outlineLevel="0" collapsed="false">
      <c r="A13" s="5" t="s">
        <v>8</v>
      </c>
      <c r="B13" s="5" t="s">
        <v>9</v>
      </c>
      <c r="C13" s="6" t="n">
        <v>1600000</v>
      </c>
    </row>
    <row r="14" customFormat="false" ht="15" hidden="false" customHeight="false" outlineLevel="0" collapsed="false">
      <c r="A14" s="5" t="s">
        <v>8</v>
      </c>
      <c r="B14" s="5" t="s">
        <v>9</v>
      </c>
      <c r="C14" s="6" t="n">
        <v>1500000</v>
      </c>
    </row>
    <row r="15" customFormat="false" ht="15" hidden="false" customHeight="false" outlineLevel="0" collapsed="false">
      <c r="A15" s="5" t="s">
        <v>8</v>
      </c>
      <c r="B15" s="5" t="s">
        <v>9</v>
      </c>
      <c r="C15" s="6" t="n">
        <v>1500000</v>
      </c>
    </row>
    <row r="16" customFormat="false" ht="15" hidden="false" customHeight="false" outlineLevel="0" collapsed="false">
      <c r="A16" s="5" t="s">
        <v>8</v>
      </c>
      <c r="B16" s="5" t="s">
        <v>9</v>
      </c>
      <c r="C16" s="6" t="n">
        <v>1500000</v>
      </c>
    </row>
    <row r="17" customFormat="false" ht="15" hidden="false" customHeight="false" outlineLevel="0" collapsed="false">
      <c r="A17" s="5" t="s">
        <v>8</v>
      </c>
      <c r="B17" s="5" t="s">
        <v>10</v>
      </c>
      <c r="C17" s="6" t="n">
        <v>1250000</v>
      </c>
    </row>
    <row r="18" customFormat="false" ht="15" hidden="false" customHeight="false" outlineLevel="0" collapsed="false">
      <c r="A18" s="5"/>
      <c r="B18" s="5" t="s">
        <v>12</v>
      </c>
      <c r="C18" s="5"/>
    </row>
    <row r="19" customFormat="false" ht="15" hidden="false" customHeight="false" outlineLevel="0" collapsed="false">
      <c r="A19" s="5" t="s">
        <v>8</v>
      </c>
      <c r="B19" s="5" t="s">
        <v>10</v>
      </c>
      <c r="C19" s="6" t="n">
        <v>1300000</v>
      </c>
    </row>
    <row r="20" customFormat="false" ht="15" hidden="false" customHeight="false" outlineLevel="0" collapsed="false">
      <c r="A20" s="5" t="s">
        <v>8</v>
      </c>
      <c r="B20" s="5" t="s">
        <v>13</v>
      </c>
      <c r="C20" s="6" t="n">
        <v>1600000</v>
      </c>
    </row>
    <row r="21" customFormat="false" ht="15" hidden="false" customHeight="false" outlineLevel="0" collapsed="false">
      <c r="A21" s="5"/>
      <c r="B21" s="5" t="s">
        <v>14</v>
      </c>
      <c r="C21" s="5"/>
    </row>
    <row r="22" customFormat="false" ht="15" hidden="false" customHeight="false" outlineLevel="0" collapsed="false">
      <c r="A22" s="5" t="s">
        <v>8</v>
      </c>
      <c r="B22" s="5" t="s">
        <v>10</v>
      </c>
      <c r="C22" s="6" t="n">
        <v>1200000</v>
      </c>
    </row>
    <row r="23" customFormat="false" ht="15" hidden="false" customHeight="false" outlineLevel="0" collapsed="false">
      <c r="A23" s="5" t="s">
        <v>8</v>
      </c>
      <c r="B23" s="5" t="s">
        <v>10</v>
      </c>
      <c r="C23" s="6" t="n">
        <v>900000</v>
      </c>
    </row>
    <row r="24" customFormat="false" ht="15" hidden="false" customHeight="false" outlineLevel="0" collapsed="false">
      <c r="A24" s="5" t="s">
        <v>8</v>
      </c>
      <c r="B24" s="5" t="s">
        <v>15</v>
      </c>
      <c r="C24" s="6" t="n">
        <v>700000</v>
      </c>
    </row>
    <row r="25" customFormat="false" ht="15" hidden="false" customHeight="false" outlineLevel="0" collapsed="false">
      <c r="A25" s="5" t="s">
        <v>8</v>
      </c>
      <c r="B25" s="5" t="s">
        <v>16</v>
      </c>
      <c r="C25" s="6" t="n">
        <v>1200000</v>
      </c>
    </row>
    <row r="26" customFormat="false" ht="15" hidden="false" customHeight="false" outlineLevel="0" collapsed="false">
      <c r="A26" s="5"/>
      <c r="B26" s="5" t="s">
        <v>17</v>
      </c>
      <c r="C26" s="6" t="n">
        <v>19550000</v>
      </c>
    </row>
    <row r="27" customFormat="false" ht="15" hidden="false" customHeight="false" outlineLevel="0" collapsed="false">
      <c r="A27" s="5" t="s">
        <v>18</v>
      </c>
      <c r="B27" s="7" t="n">
        <v>6100</v>
      </c>
      <c r="C27" s="6" t="n">
        <v>3205</v>
      </c>
    </row>
    <row r="28" customFormat="false" ht="15" hidden="false" customHeight="false" outlineLevel="0" collapsed="false">
      <c r="A28" s="2" t="s">
        <v>19</v>
      </c>
    </row>
    <row r="30" customFormat="false" ht="15" hidden="false" customHeight="false" outlineLevel="0" collapsed="false">
      <c r="A30" s="3" t="s">
        <v>20</v>
      </c>
    </row>
    <row r="31" customFormat="false" ht="30" hidden="false" customHeight="true" outlineLevel="0" collapsed="false">
      <c r="A31" s="4" t="s">
        <v>21</v>
      </c>
      <c r="B31" s="4" t="s">
        <v>22</v>
      </c>
      <c r="C31" s="4" t="s">
        <v>23</v>
      </c>
      <c r="D31" s="4" t="s">
        <v>24</v>
      </c>
      <c r="E31" s="4" t="s">
        <v>25</v>
      </c>
    </row>
    <row r="32" customFormat="false" ht="15" hidden="false" customHeight="false" outlineLevel="0" collapsed="false">
      <c r="A32" s="5" t="n">
        <v>340000</v>
      </c>
      <c r="B32" s="5" t="s">
        <v>26</v>
      </c>
      <c r="C32" s="5" t="n">
        <v>3205</v>
      </c>
      <c r="D32" s="5" t="n">
        <v>19550000</v>
      </c>
      <c r="E32" s="5" t="s">
        <v>27</v>
      </c>
    </row>
    <row r="33" customFormat="false" ht="15" hidden="false" customHeight="false" outlineLevel="0" collapsed="false">
      <c r="A33" s="5"/>
      <c r="B33" s="5" t="s">
        <v>28</v>
      </c>
      <c r="C33" s="5" t="n">
        <v>2764</v>
      </c>
      <c r="D33" s="5"/>
      <c r="E33" s="5" t="s">
        <v>29</v>
      </c>
    </row>
    <row r="34" customFormat="false" ht="15" hidden="false" customHeight="false" outlineLevel="0" collapsed="false">
      <c r="A34" s="5"/>
      <c r="B34" s="5" t="s">
        <v>30</v>
      </c>
      <c r="C34" s="5" t="n">
        <v>1200</v>
      </c>
      <c r="D34" s="5"/>
      <c r="E34" s="5" t="s">
        <v>31</v>
      </c>
    </row>
    <row r="35" customFormat="false" ht="15" hidden="false" customHeight="false" outlineLevel="0" collapsed="false">
      <c r="A35" s="5"/>
      <c r="B35" s="5" t="s">
        <v>32</v>
      </c>
      <c r="C35" s="5"/>
      <c r="D35" s="5"/>
      <c r="E35" s="5" t="s">
        <v>33</v>
      </c>
    </row>
    <row r="36" customFormat="false" ht="15" hidden="false" customHeight="false" outlineLevel="0" collapsed="false">
      <c r="A36" s="5"/>
      <c r="B36" s="5" t="s">
        <v>34</v>
      </c>
      <c r="C36" s="5" t="s">
        <v>35</v>
      </c>
      <c r="D36" s="5"/>
      <c r="E36" s="5"/>
    </row>
    <row r="37" customFormat="false" ht="15" hidden="false" customHeight="false" outlineLevel="0" collapsed="false">
      <c r="A37" s="5" t="s">
        <v>36</v>
      </c>
      <c r="B37" s="5" t="s">
        <v>37</v>
      </c>
      <c r="C37" s="5"/>
      <c r="D37" s="5"/>
      <c r="E37" s="5" t="s">
        <v>38</v>
      </c>
    </row>
    <row r="38" customFormat="false" ht="15" hidden="false" customHeight="false" outlineLevel="0" collapsed="false">
      <c r="A38" s="2" t="s">
        <v>39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13"/>
    <col collapsed="false" customWidth="true" hidden="false" outlineLevel="0" max="4" min="4" style="0" width="22"/>
    <col collapsed="false" customWidth="true" hidden="false" outlineLevel="0" max="5" min="5" style="0" width="13"/>
    <col collapsed="false" customWidth="true" hidden="false" outlineLevel="0" max="6" min="6" style="0" width="24"/>
    <col collapsed="false" customWidth="true" hidden="false" outlineLevel="0" max="7" min="7" style="0" width="8"/>
    <col collapsed="false" customWidth="true" hidden="false" outlineLevel="0" max="8" min="8" style="0" width="16"/>
    <col collapsed="false" customWidth="true" hidden="false" outlineLevel="0" max="9" min="9" style="0" width="14"/>
    <col collapsed="false" customWidth="true" hidden="false" outlineLevel="0" max="10" min="10" style="0" width="26"/>
    <col collapsed="false" customWidth="true" hidden="false" outlineLevel="0" max="11" min="11" style="0" width="50"/>
  </cols>
  <sheetData>
    <row r="1" customFormat="false" ht="16.15" hidden="false" customHeight="false" outlineLevel="0" collapsed="false">
      <c r="A1" s="1" t="s">
        <v>40</v>
      </c>
    </row>
    <row r="2" customFormat="false" ht="15" hidden="false" customHeight="false" outlineLevel="0" collapsed="false">
      <c r="A2" s="2" t="s">
        <v>41</v>
      </c>
    </row>
    <row r="4" customFormat="false" ht="30" hidden="false" customHeight="true" outlineLevel="0" collapsed="false">
      <c r="A4" s="4" t="s">
        <v>42</v>
      </c>
      <c r="B4" s="4" t="s">
        <v>43</v>
      </c>
      <c r="C4" s="4" t="s">
        <v>44</v>
      </c>
      <c r="D4" s="4" t="s">
        <v>45</v>
      </c>
      <c r="E4" s="4" t="s">
        <v>46</v>
      </c>
      <c r="F4" s="4" t="s">
        <v>47</v>
      </c>
      <c r="G4" s="4" t="s">
        <v>48</v>
      </c>
      <c r="H4" s="4" t="s">
        <v>49</v>
      </c>
      <c r="I4" s="4" t="s">
        <v>50</v>
      </c>
      <c r="J4" s="4" t="s">
        <v>51</v>
      </c>
      <c r="K4" s="4" t="s">
        <v>52</v>
      </c>
    </row>
    <row r="5" customFormat="false" ht="15" hidden="false" customHeight="false" outlineLevel="0" collapsed="false">
      <c r="A5" s="8" t="n">
        <v>1</v>
      </c>
      <c r="B5" s="8" t="s">
        <v>53</v>
      </c>
      <c r="C5" s="8" t="s">
        <v>7</v>
      </c>
      <c r="D5" s="5" t="s">
        <v>9</v>
      </c>
      <c r="E5" s="8" t="s">
        <v>54</v>
      </c>
      <c r="F5" s="8" t="s">
        <v>55</v>
      </c>
      <c r="G5" s="8" t="s">
        <v>56</v>
      </c>
      <c r="H5" s="6" t="n">
        <v>1500000</v>
      </c>
      <c r="I5" s="9" t="n">
        <f aca="false">H5/Parametros!$B$6</f>
        <v>245.901639344262</v>
      </c>
      <c r="J5" s="10" t="s">
        <v>57</v>
      </c>
      <c r="K5" s="11"/>
    </row>
    <row r="6" customFormat="false" ht="15" hidden="false" customHeight="false" outlineLevel="0" collapsed="false">
      <c r="A6" s="8" t="n">
        <v>2</v>
      </c>
      <c r="B6" s="8" t="s">
        <v>58</v>
      </c>
      <c r="C6" s="8" t="s">
        <v>7</v>
      </c>
      <c r="D6" s="5" t="s">
        <v>9</v>
      </c>
      <c r="E6" s="8" t="s">
        <v>54</v>
      </c>
      <c r="F6" s="8" t="s">
        <v>55</v>
      </c>
      <c r="G6" s="8" t="s">
        <v>56</v>
      </c>
      <c r="H6" s="6" t="n">
        <v>1500000</v>
      </c>
      <c r="I6" s="9" t="n">
        <f aca="false">H6/Parametros!$B$6</f>
        <v>245.901639344262</v>
      </c>
      <c r="J6" s="10" t="s">
        <v>57</v>
      </c>
      <c r="K6" s="11"/>
    </row>
    <row r="7" customFormat="false" ht="15" hidden="false" customHeight="false" outlineLevel="0" collapsed="false">
      <c r="A7" s="8" t="n">
        <v>3</v>
      </c>
      <c r="B7" s="8" t="s">
        <v>59</v>
      </c>
      <c r="C7" s="8" t="s">
        <v>7</v>
      </c>
      <c r="D7" s="5" t="s">
        <v>10</v>
      </c>
      <c r="E7" s="8" t="s">
        <v>60</v>
      </c>
      <c r="F7" s="8" t="s">
        <v>55</v>
      </c>
      <c r="G7" s="8" t="s">
        <v>56</v>
      </c>
      <c r="H7" s="6" t="n">
        <v>1200000</v>
      </c>
      <c r="I7" s="9" t="n">
        <f aca="false">H7/Parametros!$B$6</f>
        <v>196.72131147541</v>
      </c>
      <c r="J7" s="10" t="s">
        <v>57</v>
      </c>
      <c r="K7" s="11"/>
    </row>
    <row r="8" customFormat="false" ht="15" hidden="false" customHeight="false" outlineLevel="0" collapsed="false">
      <c r="A8" s="8" t="n">
        <v>4</v>
      </c>
      <c r="B8" s="8" t="s">
        <v>61</v>
      </c>
      <c r="C8" s="8" t="s">
        <v>7</v>
      </c>
      <c r="D8" s="5" t="s">
        <v>10</v>
      </c>
      <c r="E8" s="8" t="s">
        <v>60</v>
      </c>
      <c r="F8" s="8" t="s">
        <v>55</v>
      </c>
      <c r="G8" s="8" t="s">
        <v>56</v>
      </c>
      <c r="H8" s="6" t="n">
        <v>1100000</v>
      </c>
      <c r="I8" s="9" t="n">
        <f aca="false">H8/Parametros!$B$6</f>
        <v>180.327868852459</v>
      </c>
      <c r="J8" s="10" t="s">
        <v>57</v>
      </c>
      <c r="K8" s="11"/>
    </row>
    <row r="9" customFormat="false" ht="15" hidden="false" customHeight="false" outlineLevel="0" collapsed="false">
      <c r="A9" s="8" t="n">
        <v>5</v>
      </c>
      <c r="B9" s="8" t="s">
        <v>62</v>
      </c>
      <c r="C9" s="8" t="s">
        <v>11</v>
      </c>
      <c r="D9" s="5" t="s">
        <v>9</v>
      </c>
      <c r="E9" s="8" t="s">
        <v>54</v>
      </c>
      <c r="F9" s="8" t="s">
        <v>55</v>
      </c>
      <c r="G9" s="8" t="s">
        <v>56</v>
      </c>
      <c r="H9" s="6" t="n">
        <v>1600000</v>
      </c>
      <c r="I9" s="9" t="n">
        <f aca="false">H9/Parametros!$B$6</f>
        <v>262.295081967213</v>
      </c>
      <c r="J9" s="10" t="s">
        <v>57</v>
      </c>
      <c r="K9" s="11"/>
    </row>
    <row r="10" customFormat="false" ht="15" hidden="false" customHeight="false" outlineLevel="0" collapsed="false">
      <c r="A10" s="8" t="n">
        <v>6</v>
      </c>
      <c r="B10" s="8" t="s">
        <v>63</v>
      </c>
      <c r="C10" s="8" t="s">
        <v>11</v>
      </c>
      <c r="D10" s="5" t="s">
        <v>9</v>
      </c>
      <c r="E10" s="8" t="s">
        <v>54</v>
      </c>
      <c r="F10" s="8" t="s">
        <v>55</v>
      </c>
      <c r="G10" s="8" t="s">
        <v>56</v>
      </c>
      <c r="H10" s="6" t="n">
        <v>1500000</v>
      </c>
      <c r="I10" s="9" t="n">
        <f aca="false">H10/Parametros!$B$6</f>
        <v>245.901639344262</v>
      </c>
      <c r="J10" s="10" t="s">
        <v>57</v>
      </c>
      <c r="K10" s="11"/>
    </row>
    <row r="11" customFormat="false" ht="15" hidden="false" customHeight="false" outlineLevel="0" collapsed="false">
      <c r="A11" s="8" t="n">
        <v>7</v>
      </c>
      <c r="B11" s="8" t="s">
        <v>64</v>
      </c>
      <c r="C11" s="8" t="s">
        <v>11</v>
      </c>
      <c r="D11" s="5" t="s">
        <v>9</v>
      </c>
      <c r="E11" s="8" t="s">
        <v>54</v>
      </c>
      <c r="F11" s="8" t="s">
        <v>55</v>
      </c>
      <c r="G11" s="8" t="s">
        <v>56</v>
      </c>
      <c r="H11" s="6" t="n">
        <v>1500000</v>
      </c>
      <c r="I11" s="9" t="n">
        <f aca="false">H11/Parametros!$B$6</f>
        <v>245.901639344262</v>
      </c>
      <c r="J11" s="10" t="s">
        <v>57</v>
      </c>
      <c r="K11" s="11"/>
    </row>
    <row r="12" customFormat="false" ht="15" hidden="false" customHeight="false" outlineLevel="0" collapsed="false">
      <c r="A12" s="8" t="n">
        <v>8</v>
      </c>
      <c r="B12" s="8" t="s">
        <v>65</v>
      </c>
      <c r="C12" s="8" t="s">
        <v>11</v>
      </c>
      <c r="D12" s="5" t="s">
        <v>9</v>
      </c>
      <c r="E12" s="8" t="s">
        <v>54</v>
      </c>
      <c r="F12" s="8" t="s">
        <v>55</v>
      </c>
      <c r="G12" s="8" t="s">
        <v>56</v>
      </c>
      <c r="H12" s="6" t="n">
        <v>1500000</v>
      </c>
      <c r="I12" s="9" t="n">
        <f aca="false">H12/Parametros!$B$6</f>
        <v>245.901639344262</v>
      </c>
      <c r="J12" s="10" t="s">
        <v>57</v>
      </c>
      <c r="K12" s="11"/>
    </row>
    <row r="13" customFormat="false" ht="15" hidden="false" customHeight="false" outlineLevel="0" collapsed="false">
      <c r="A13" s="8" t="n">
        <v>9</v>
      </c>
      <c r="B13" s="8" t="s">
        <v>66</v>
      </c>
      <c r="C13" s="8" t="s">
        <v>11</v>
      </c>
      <c r="D13" s="5" t="s">
        <v>10</v>
      </c>
      <c r="E13" s="8" t="s">
        <v>60</v>
      </c>
      <c r="F13" s="8" t="s">
        <v>55</v>
      </c>
      <c r="G13" s="8" t="s">
        <v>56</v>
      </c>
      <c r="H13" s="6" t="n">
        <v>1250000</v>
      </c>
      <c r="I13" s="9" t="n">
        <f aca="false">H13/Parametros!$B$6</f>
        <v>204.918032786885</v>
      </c>
      <c r="J13" s="10" t="s">
        <v>57</v>
      </c>
      <c r="K13" s="11"/>
    </row>
    <row r="14" customFormat="false" ht="15" hidden="false" customHeight="false" outlineLevel="0" collapsed="false">
      <c r="A14" s="8" t="n">
        <v>10</v>
      </c>
      <c r="B14" s="8" t="s">
        <v>67</v>
      </c>
      <c r="C14" s="8" t="s">
        <v>12</v>
      </c>
      <c r="D14" s="5" t="s">
        <v>10</v>
      </c>
      <c r="E14" s="8" t="s">
        <v>60</v>
      </c>
      <c r="F14" s="8" t="s">
        <v>55</v>
      </c>
      <c r="G14" s="8" t="s">
        <v>56</v>
      </c>
      <c r="H14" s="6" t="n">
        <v>1300000</v>
      </c>
      <c r="I14" s="9" t="n">
        <f aca="false">H14/Parametros!$B$6</f>
        <v>213.114754098361</v>
      </c>
      <c r="J14" s="10" t="s">
        <v>57</v>
      </c>
      <c r="K14" s="11"/>
    </row>
    <row r="15" customFormat="false" ht="15" hidden="false" customHeight="false" outlineLevel="0" collapsed="false">
      <c r="A15" s="8" t="n">
        <v>11</v>
      </c>
      <c r="B15" s="8" t="s">
        <v>68</v>
      </c>
      <c r="C15" s="8" t="s">
        <v>12</v>
      </c>
      <c r="D15" s="5" t="s">
        <v>13</v>
      </c>
      <c r="E15" s="8" t="s">
        <v>69</v>
      </c>
      <c r="F15" s="8" t="s">
        <v>55</v>
      </c>
      <c r="G15" s="8" t="s">
        <v>56</v>
      </c>
      <c r="H15" s="6" t="n">
        <v>1600000</v>
      </c>
      <c r="I15" s="9" t="n">
        <f aca="false">H15/Parametros!$B$6</f>
        <v>262.295081967213</v>
      </c>
      <c r="J15" s="10" t="s">
        <v>57</v>
      </c>
      <c r="K15" s="11"/>
    </row>
    <row r="16" customFormat="false" ht="15" hidden="false" customHeight="false" outlineLevel="0" collapsed="false">
      <c r="A16" s="8" t="n">
        <v>12</v>
      </c>
      <c r="B16" s="8" t="s">
        <v>70</v>
      </c>
      <c r="C16" s="8" t="s">
        <v>71</v>
      </c>
      <c r="D16" s="5" t="s">
        <v>10</v>
      </c>
      <c r="E16" s="8" t="s">
        <v>60</v>
      </c>
      <c r="F16" s="8" t="s">
        <v>55</v>
      </c>
      <c r="G16" s="8" t="s">
        <v>56</v>
      </c>
      <c r="H16" s="6" t="n">
        <v>1200000</v>
      </c>
      <c r="I16" s="9" t="n">
        <f aca="false">H16/Parametros!$B$6</f>
        <v>196.72131147541</v>
      </c>
      <c r="J16" s="10" t="s">
        <v>57</v>
      </c>
      <c r="K16" s="11"/>
    </row>
    <row r="17" customFormat="false" ht="15" hidden="false" customHeight="false" outlineLevel="0" collapsed="false">
      <c r="A17" s="8" t="n">
        <v>13</v>
      </c>
      <c r="B17" s="8" t="s">
        <v>72</v>
      </c>
      <c r="C17" s="8" t="s">
        <v>71</v>
      </c>
      <c r="D17" s="5" t="s">
        <v>10</v>
      </c>
      <c r="E17" s="8" t="s">
        <v>60</v>
      </c>
      <c r="F17" s="8" t="s">
        <v>55</v>
      </c>
      <c r="G17" s="8" t="s">
        <v>56</v>
      </c>
      <c r="H17" s="6" t="n">
        <v>900000</v>
      </c>
      <c r="I17" s="9" t="n">
        <f aca="false">H17/Parametros!$B$6</f>
        <v>147.540983606557</v>
      </c>
      <c r="J17" s="10" t="s">
        <v>57</v>
      </c>
      <c r="K17" s="11"/>
    </row>
    <row r="18" customFormat="false" ht="23.85" hidden="false" customHeight="false" outlineLevel="0" collapsed="false">
      <c r="A18" s="8" t="n">
        <v>14</v>
      </c>
      <c r="B18" s="8" t="s">
        <v>73</v>
      </c>
      <c r="C18" s="8" t="s">
        <v>71</v>
      </c>
      <c r="D18" s="5" t="s">
        <v>15</v>
      </c>
      <c r="E18" s="8" t="s">
        <v>74</v>
      </c>
      <c r="F18" s="8" t="s">
        <v>15</v>
      </c>
      <c r="G18" s="8" t="s">
        <v>56</v>
      </c>
      <c r="H18" s="6" t="n">
        <v>700000</v>
      </c>
      <c r="I18" s="9" t="n">
        <f aca="false">H18/Parametros!$B$6</f>
        <v>114.754098360656</v>
      </c>
      <c r="J18" s="10" t="s">
        <v>57</v>
      </c>
      <c r="K18" s="11" t="s">
        <v>75</v>
      </c>
    </row>
    <row r="19" customFormat="false" ht="23.85" hidden="false" customHeight="false" outlineLevel="0" collapsed="false">
      <c r="A19" s="8" t="n">
        <v>15</v>
      </c>
      <c r="B19" s="8" t="s">
        <v>76</v>
      </c>
      <c r="C19" s="8" t="s">
        <v>71</v>
      </c>
      <c r="D19" s="5" t="s">
        <v>16</v>
      </c>
      <c r="E19" s="10" t="s">
        <v>77</v>
      </c>
      <c r="F19" s="10" t="s">
        <v>78</v>
      </c>
      <c r="G19" s="8" t="s">
        <v>56</v>
      </c>
      <c r="H19" s="6" t="n">
        <v>1200000</v>
      </c>
      <c r="I19" s="9" t="n">
        <f aca="false">H19/Parametros!$B$6</f>
        <v>196.72131147541</v>
      </c>
      <c r="J19" s="10" t="s">
        <v>57</v>
      </c>
      <c r="K19" s="11" t="s">
        <v>79</v>
      </c>
    </row>
    <row r="20" customFormat="false" ht="15" hidden="false" customHeight="false" outlineLevel="0" collapsed="false">
      <c r="G20" s="12" t="s">
        <v>17</v>
      </c>
      <c r="H20" s="13" t="n">
        <f aca="false">SUM(H5:H19)</f>
        <v>19550000</v>
      </c>
      <c r="I20" s="14" t="n">
        <f aca="false">SUM(I5:I19)</f>
        <v>3204.91803278689</v>
      </c>
    </row>
    <row r="22" customFormat="false" ht="15" hidden="false" customHeight="false" outlineLevel="0" collapsed="false">
      <c r="A22" s="2" t="s">
        <v>80</v>
      </c>
    </row>
    <row r="23" customFormat="false" ht="15" hidden="false" customHeight="false" outlineLevel="0" collapsed="false">
      <c r="A23" s="2" t="s">
        <v>81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4" min="2" style="0" width="16"/>
    <col collapsed="false" customWidth="true" hidden="false" outlineLevel="0" max="5" min="5" style="0" width="14"/>
    <col collapsed="false" customWidth="true" hidden="false" outlineLevel="0" max="6" min="6" style="0" width="50"/>
  </cols>
  <sheetData>
    <row r="1" customFormat="false" ht="16.15" hidden="false" customHeight="false" outlineLevel="0" collapsed="false">
      <c r="A1" s="1" t="s">
        <v>82</v>
      </c>
    </row>
    <row r="2" customFormat="false" ht="15" hidden="false" customHeight="false" outlineLevel="0" collapsed="false">
      <c r="A2" s="2" t="s">
        <v>41</v>
      </c>
    </row>
    <row r="4" customFormat="false" ht="30" hidden="false" customHeight="true" outlineLevel="0" collapsed="false">
      <c r="A4" s="4" t="s">
        <v>47</v>
      </c>
      <c r="B4" s="4" t="s">
        <v>83</v>
      </c>
      <c r="C4" s="4" t="s">
        <v>84</v>
      </c>
      <c r="D4" s="4" t="s">
        <v>85</v>
      </c>
      <c r="E4" s="4" t="s">
        <v>86</v>
      </c>
      <c r="F4" s="4" t="s">
        <v>52</v>
      </c>
    </row>
    <row r="5" customFormat="false" ht="15" hidden="false" customHeight="false" outlineLevel="0" collapsed="false">
      <c r="A5" s="12" t="s">
        <v>87</v>
      </c>
      <c r="B5" s="15" t="n">
        <f aca="false">Parametros!$B$16</f>
        <v>6</v>
      </c>
      <c r="C5" s="16" t="n">
        <f aca="false">COUNTIFS(Alquileres_Unidad!$E$5:$E$19,"1 dormitorio")</f>
        <v>6</v>
      </c>
      <c r="D5" s="17" t="n">
        <f aca="false">C5-B5</f>
        <v>0</v>
      </c>
      <c r="E5" s="8" t="str">
        <f aca="false">IF(D5=0,"Coincide","DIFERENCIA")</f>
        <v>Coincide</v>
      </c>
      <c r="F5" s="11"/>
    </row>
    <row r="6" customFormat="false" ht="15" hidden="false" customHeight="false" outlineLevel="0" collapsed="false">
      <c r="A6" s="12" t="s">
        <v>88</v>
      </c>
      <c r="B6" s="15" t="n">
        <f aca="false">Parametros!$B$17</f>
        <v>6</v>
      </c>
      <c r="C6" s="16" t="n">
        <f aca="false">COUNTIFS(Alquileres_Unidad!$E$5:$E$19,"2 dormitorios")</f>
        <v>6</v>
      </c>
      <c r="D6" s="17" t="n">
        <f aca="false">C6-B6</f>
        <v>0</v>
      </c>
      <c r="E6" s="8" t="str">
        <f aca="false">IF(D6=0,"Coincide","DIFERENCIA")</f>
        <v>Coincide</v>
      </c>
      <c r="F6" s="11"/>
    </row>
    <row r="7" customFormat="false" ht="15" hidden="false" customHeight="false" outlineLevel="0" collapsed="false">
      <c r="A7" s="12" t="s">
        <v>89</v>
      </c>
      <c r="B7" s="15" t="n">
        <f aca="false">Parametros!$B$18</f>
        <v>1</v>
      </c>
      <c r="C7" s="16" t="n">
        <f aca="false">COUNTIFS(Alquileres_Unidad!$E$5:$E$19,"3 dormitorios")</f>
        <v>1</v>
      </c>
      <c r="D7" s="17" t="n">
        <f aca="false">C7-B7</f>
        <v>0</v>
      </c>
      <c r="E7" s="8" t="str">
        <f aca="false">IF(D7=0,"Coincide","DIFERENCIA")</f>
        <v>Coincide</v>
      </c>
      <c r="F7" s="11"/>
    </row>
    <row r="8" customFormat="false" ht="15" hidden="false" customHeight="false" outlineLevel="0" collapsed="false">
      <c r="A8" s="12" t="s">
        <v>90</v>
      </c>
      <c r="B8" s="15" t="n">
        <f aca="false">Parametros!$B$19</f>
        <v>1</v>
      </c>
      <c r="C8" s="16" t="n">
        <f aca="false">COUNTIFS(Alquileres_Unidad!$F$5:$F$19,"Local comercial")</f>
        <v>0</v>
      </c>
      <c r="D8" s="17" t="n">
        <f aca="false">C8-B8</f>
        <v>-1</v>
      </c>
      <c r="E8" s="8" t="str">
        <f aca="false">IF(D8=0,"Coincide","DIFERENCIA")</f>
        <v>DIFERENCIA</v>
      </c>
      <c r="F8" s="11" t="s">
        <v>91</v>
      </c>
    </row>
    <row r="9" customFormat="false" ht="15" hidden="false" customHeight="false" outlineLevel="0" collapsed="false">
      <c r="A9" s="12" t="s">
        <v>92</v>
      </c>
      <c r="B9" s="18" t="n">
        <v>0</v>
      </c>
      <c r="C9" s="16" t="n">
        <f aca="false">COUNTIFS(Alquileres_Unidad!$F$5:$F$19,"Cochera")</f>
        <v>1</v>
      </c>
      <c r="D9" s="17" t="n">
        <f aca="false">C9-B9</f>
        <v>1</v>
      </c>
      <c r="E9" s="8" t="str">
        <f aca="false">IF(D9=0,"Coincide","DIFERENCIA")</f>
        <v>DIFERENCIA</v>
      </c>
      <c r="F9" s="11" t="s">
        <v>93</v>
      </c>
    </row>
    <row r="10" customFormat="false" ht="15" hidden="false" customHeight="false" outlineLevel="0" collapsed="false">
      <c r="A10" s="12" t="s">
        <v>94</v>
      </c>
      <c r="B10" s="18" t="n">
        <v>0</v>
      </c>
      <c r="C10" s="16" t="n">
        <f aca="false">COUNTIFS(Alquileres_Unidad!$F$5:$F$19,"Mixto — a confirmar")</f>
        <v>1</v>
      </c>
      <c r="D10" s="17" t="n">
        <f aca="false">C10-B10</f>
        <v>1</v>
      </c>
      <c r="E10" s="8" t="str">
        <f aca="false">IF(D10=0,"Coincide","DIFERENCIA")</f>
        <v>DIFERENCIA</v>
      </c>
      <c r="F10" s="11" t="s">
        <v>95</v>
      </c>
    </row>
    <row r="11" customFormat="false" ht="15" hidden="false" customHeight="false" outlineLevel="0" collapsed="false">
      <c r="A11" s="12" t="s">
        <v>96</v>
      </c>
      <c r="B11" s="16" t="n">
        <f aca="false">SUM(B5:B7)</f>
        <v>13</v>
      </c>
      <c r="C11" s="16" t="n">
        <f aca="false">COUNTIFS(Alquileres_Unidad!$F$5:$F$19,"Departamento")</f>
        <v>13</v>
      </c>
      <c r="D11" s="17" t="n">
        <f aca="false">C11-B11</f>
        <v>0</v>
      </c>
      <c r="E11" s="8" t="str">
        <f aca="false">IF(D11=0,"Coincide","DIFERENCIA")</f>
        <v>Coincide</v>
      </c>
      <c r="F11" s="8" t="s">
        <v>97</v>
      </c>
    </row>
    <row r="13" customFormat="false" ht="16.15" hidden="false" customHeight="false" outlineLevel="0" collapsed="false">
      <c r="A13" s="19" t="s">
        <v>98</v>
      </c>
    </row>
    <row r="14" customFormat="false" ht="30" hidden="false" customHeight="true" outlineLevel="0" collapsed="false">
      <c r="A14" s="4" t="s">
        <v>99</v>
      </c>
      <c r="B14" s="4" t="s">
        <v>100</v>
      </c>
      <c r="C14" s="4"/>
      <c r="D14" s="4"/>
      <c r="E14" s="4" t="s">
        <v>86</v>
      </c>
      <c r="F14" s="4" t="s">
        <v>52</v>
      </c>
    </row>
    <row r="15" customFormat="false" ht="15" hidden="false" customHeight="false" outlineLevel="0" collapsed="false">
      <c r="A15" s="12" t="s">
        <v>101</v>
      </c>
      <c r="B15" s="20" t="n">
        <f aca="false">Alquileres_Unidad!H20</f>
        <v>19550000</v>
      </c>
    </row>
    <row r="16" customFormat="false" ht="15" hidden="false" customHeight="false" outlineLevel="0" collapsed="false">
      <c r="A16" s="12" t="s">
        <v>102</v>
      </c>
      <c r="B16" s="20" t="n">
        <f aca="false">Parametros!$B$7</f>
        <v>19550000</v>
      </c>
    </row>
    <row r="17" customFormat="false" ht="15" hidden="false" customHeight="false" outlineLevel="0" collapsed="false">
      <c r="A17" s="12" t="s">
        <v>103</v>
      </c>
      <c r="B17" s="21" t="n">
        <f aca="false">B15-B16</f>
        <v>0</v>
      </c>
      <c r="E17" s="8" t="str">
        <f aca="false">IF(B17=0,"Suma correcta","DIFERENCIA")</f>
        <v>Suma correcta</v>
      </c>
      <c r="F17" s="8" t="s">
        <v>104</v>
      </c>
    </row>
    <row r="19" customFormat="false" ht="16.15" hidden="false" customHeight="false" outlineLevel="0" collapsed="false">
      <c r="A19" s="19" t="s">
        <v>105</v>
      </c>
    </row>
    <row r="20" customFormat="false" ht="30" hidden="false" customHeight="true" outlineLevel="0" collapsed="false">
      <c r="A20" s="4" t="s">
        <v>44</v>
      </c>
      <c r="B20" s="4" t="s">
        <v>106</v>
      </c>
      <c r="C20" s="4" t="s">
        <v>49</v>
      </c>
      <c r="D20" s="4" t="s">
        <v>107</v>
      </c>
      <c r="E20" s="4"/>
      <c r="F20" s="4" t="s">
        <v>52</v>
      </c>
    </row>
    <row r="21" customFormat="false" ht="15" hidden="false" customHeight="false" outlineLevel="0" collapsed="false">
      <c r="A21" s="12" t="s">
        <v>7</v>
      </c>
      <c r="B21" s="16" t="n">
        <f aca="false">COUNTIFS(Alquileres_Unidad!$C$5:$C$19,A21)</f>
        <v>4</v>
      </c>
      <c r="C21" s="21" t="n">
        <f aca="false">SUMIFS(Alquileres_Unidad!$H$5:$H$19,Alquileres_Unidad!$C$5:$C$19,A21)</f>
        <v>5300000</v>
      </c>
      <c r="D21" s="22" t="n">
        <f aca="false">C21/$C$25</f>
        <v>0.271099744245524</v>
      </c>
    </row>
    <row r="22" customFormat="false" ht="15" hidden="false" customHeight="false" outlineLevel="0" collapsed="false">
      <c r="A22" s="12" t="s">
        <v>11</v>
      </c>
      <c r="B22" s="16" t="n">
        <f aca="false">COUNTIFS(Alquileres_Unidad!$C$5:$C$19,A22)</f>
        <v>5</v>
      </c>
      <c r="C22" s="21" t="n">
        <f aca="false">SUMIFS(Alquileres_Unidad!$H$5:$H$19,Alquileres_Unidad!$C$5:$C$19,A22)</f>
        <v>7350000</v>
      </c>
      <c r="D22" s="22" t="n">
        <f aca="false">C22/$C$25</f>
        <v>0.375959079283887</v>
      </c>
    </row>
    <row r="23" customFormat="false" ht="15" hidden="false" customHeight="false" outlineLevel="0" collapsed="false">
      <c r="A23" s="12" t="s">
        <v>12</v>
      </c>
      <c r="B23" s="16" t="n">
        <f aca="false">COUNTIFS(Alquileres_Unidad!$C$5:$C$19,A23)</f>
        <v>2</v>
      </c>
      <c r="C23" s="21" t="n">
        <f aca="false">SUMIFS(Alquileres_Unidad!$H$5:$H$19,Alquileres_Unidad!$C$5:$C$19,A23)</f>
        <v>2900000</v>
      </c>
      <c r="D23" s="22" t="n">
        <f aca="false">C23/$C$25</f>
        <v>0.148337595907928</v>
      </c>
    </row>
    <row r="24" customFormat="false" ht="15" hidden="false" customHeight="false" outlineLevel="0" collapsed="false">
      <c r="A24" s="12" t="s">
        <v>71</v>
      </c>
      <c r="B24" s="16" t="n">
        <f aca="false">COUNTIFS(Alquileres_Unidad!$C$5:$C$19,A24)</f>
        <v>4</v>
      </c>
      <c r="C24" s="21" t="n">
        <f aca="false">SUMIFS(Alquileres_Unidad!$H$5:$H$19,Alquileres_Unidad!$C$5:$C$19,A24)</f>
        <v>4000000</v>
      </c>
      <c r="D24" s="22" t="n">
        <f aca="false">C24/$C$25</f>
        <v>0.20460358056266</v>
      </c>
    </row>
    <row r="25" customFormat="false" ht="15" hidden="false" customHeight="false" outlineLevel="0" collapsed="false">
      <c r="A25" s="12" t="s">
        <v>108</v>
      </c>
      <c r="B25" s="23" t="n">
        <f aca="false">SUM(B21:B24)</f>
        <v>15</v>
      </c>
      <c r="C25" s="13" t="n">
        <f aca="false">SUM(C21:C24)</f>
        <v>19550000</v>
      </c>
      <c r="D25" s="24" t="n">
        <f aca="false">SUM(D21:D24)</f>
        <v>1</v>
      </c>
    </row>
    <row r="27" customFormat="false" ht="16.15" hidden="false" customHeight="false" outlineLevel="0" collapsed="false">
      <c r="A27" s="19" t="s">
        <v>109</v>
      </c>
    </row>
    <row r="28" customFormat="false" ht="15" hidden="false" customHeight="false" outlineLevel="0" collapsed="false">
      <c r="A28" s="12" t="str">
        <f aca="false">IF(AND(B17=0,D8=0),"CONCILIADA","PRELIMINAR — composición no conciliada (ver preguntas abajo)")</f>
        <v>PRELIMINAR — composición no conciliada (ver preguntas abajo)</v>
      </c>
    </row>
    <row r="29" customFormat="false" ht="15" hidden="false" customHeight="false" outlineLevel="0" collapsed="false">
      <c r="A29" s="12" t="s">
        <v>110</v>
      </c>
    </row>
    <row r="30" customFormat="false" ht="15" hidden="false" customHeight="false" outlineLevel="0" collapsed="false">
      <c r="A30" s="10" t="s">
        <v>111</v>
      </c>
      <c r="B30" s="10"/>
      <c r="C30" s="10"/>
      <c r="D30" s="10"/>
      <c r="E30" s="10"/>
      <c r="F30" s="10"/>
    </row>
    <row r="31" customFormat="false" ht="15" hidden="false" customHeight="false" outlineLevel="0" collapsed="false">
      <c r="A31" s="10" t="s">
        <v>112</v>
      </c>
      <c r="B31" s="10"/>
      <c r="C31" s="10"/>
      <c r="D31" s="10"/>
      <c r="E31" s="10"/>
      <c r="F31" s="10"/>
    </row>
    <row r="32" customFormat="false" ht="15" hidden="false" customHeight="false" outlineLevel="0" collapsed="false">
      <c r="A32" s="10" t="s">
        <v>113</v>
      </c>
      <c r="B32" s="10"/>
      <c r="C32" s="10"/>
      <c r="D32" s="10"/>
      <c r="E32" s="10"/>
      <c r="F32" s="10"/>
    </row>
    <row r="33" customFormat="false" ht="15" hidden="false" customHeight="false" outlineLevel="0" collapsed="false">
      <c r="A33" s="10" t="s">
        <v>114</v>
      </c>
      <c r="B33" s="10"/>
      <c r="C33" s="10"/>
      <c r="D33" s="10"/>
      <c r="E33" s="10"/>
      <c r="F33" s="10"/>
    </row>
    <row r="34" customFormat="false" ht="15" hidden="false" customHeight="false" outlineLevel="0" collapsed="false">
      <c r="A34" s="10" t="s">
        <v>115</v>
      </c>
      <c r="B34" s="10"/>
      <c r="C34" s="10"/>
      <c r="D34" s="10"/>
      <c r="E34" s="10"/>
      <c r="F34" s="10"/>
    </row>
    <row r="35" customFormat="false" ht="15" hidden="false" customHeight="false" outlineLevel="0" collapsed="false">
      <c r="A35" s="10" t="s">
        <v>116</v>
      </c>
      <c r="B35" s="10"/>
      <c r="C35" s="10"/>
      <c r="D35" s="10"/>
      <c r="E35" s="10"/>
      <c r="F35" s="10"/>
    </row>
  </sheetData>
  <mergeCells count="6">
    <mergeCell ref="A30:F30"/>
    <mergeCell ref="A31:F31"/>
    <mergeCell ref="A32:F32"/>
    <mergeCell ref="A33:F33"/>
    <mergeCell ref="A34:F34"/>
    <mergeCell ref="A35:F3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3" min="2" style="0" width="18"/>
    <col collapsed="false" customWidth="true" hidden="false" outlineLevel="0" max="4" min="4" style="0" width="20"/>
    <col collapsed="false" customWidth="true" hidden="false" outlineLevel="0" max="5" min="5" style="0" width="56"/>
  </cols>
  <sheetData>
    <row r="1" customFormat="false" ht="16.15" hidden="false" customHeight="false" outlineLevel="0" collapsed="false">
      <c r="A1" s="1" t="s">
        <v>117</v>
      </c>
    </row>
    <row r="2" customFormat="false" ht="15" hidden="false" customHeight="false" outlineLevel="0" collapsed="false">
      <c r="A2" s="2" t="s">
        <v>41</v>
      </c>
    </row>
    <row r="4" customFormat="false" ht="30" hidden="false" customHeight="true" outlineLevel="0" collapsed="false">
      <c r="A4" s="4" t="s">
        <v>47</v>
      </c>
      <c r="B4" s="4" t="s">
        <v>118</v>
      </c>
      <c r="C4" s="4" t="s">
        <v>119</v>
      </c>
      <c r="D4" s="4" t="s">
        <v>120</v>
      </c>
      <c r="E4" s="4" t="s">
        <v>121</v>
      </c>
    </row>
    <row r="5" customFormat="false" ht="15" hidden="false" customHeight="false" outlineLevel="0" collapsed="false">
      <c r="A5" s="12" t="s">
        <v>122</v>
      </c>
      <c r="B5" s="20" t="n">
        <f aca="false">Alquileres_Unidad!H20</f>
        <v>19550000</v>
      </c>
      <c r="D5" s="8" t="s">
        <v>123</v>
      </c>
      <c r="E5" s="8" t="s">
        <v>124</v>
      </c>
    </row>
    <row r="6" customFormat="false" ht="15" hidden="false" customHeight="false" outlineLevel="0" collapsed="false">
      <c r="A6" s="12" t="s">
        <v>125</v>
      </c>
      <c r="B6" s="25" t="n">
        <f aca="false">B5/Parametros!$B$6</f>
        <v>3204.91803278689</v>
      </c>
      <c r="D6" s="8" t="s">
        <v>126</v>
      </c>
      <c r="E6" s="8" t="s">
        <v>127</v>
      </c>
    </row>
    <row r="7" customFormat="false" ht="15" hidden="false" customHeight="false" outlineLevel="0" collapsed="false">
      <c r="A7" s="12" t="s">
        <v>128</v>
      </c>
      <c r="C7" s="25" t="n">
        <f aca="false">B6*12</f>
        <v>38459.0163934426</v>
      </c>
      <c r="D7" s="8" t="s">
        <v>126</v>
      </c>
      <c r="E7" s="8" t="s">
        <v>129</v>
      </c>
    </row>
    <row r="9" customFormat="false" ht="16.15" hidden="false" customHeight="false" outlineLevel="0" collapsed="false">
      <c r="A9" s="19" t="s">
        <v>130</v>
      </c>
    </row>
    <row r="10" customFormat="false" ht="15" hidden="false" customHeight="false" outlineLevel="0" collapsed="false">
      <c r="A10" s="12" t="s">
        <v>28</v>
      </c>
      <c r="C10" s="26" t="n">
        <f aca="false">Parametros!$B$8</f>
        <v>2764</v>
      </c>
      <c r="D10" s="10" t="s">
        <v>131</v>
      </c>
      <c r="E10" s="8" t="s">
        <v>132</v>
      </c>
    </row>
    <row r="11" customFormat="false" ht="15" hidden="false" customHeight="false" outlineLevel="0" collapsed="false">
      <c r="A11" s="12" t="s">
        <v>30</v>
      </c>
      <c r="C11" s="26" t="n">
        <f aca="false">Parametros!$B$9</f>
        <v>1200</v>
      </c>
      <c r="D11" s="10" t="s">
        <v>131</v>
      </c>
      <c r="E11" s="8" t="s">
        <v>133</v>
      </c>
    </row>
    <row r="12" customFormat="false" ht="15" hidden="false" customHeight="false" outlineLevel="0" collapsed="false">
      <c r="A12" s="12" t="s">
        <v>134</v>
      </c>
      <c r="C12" s="27" t="n">
        <f aca="false">SUM(C10:C11)</f>
        <v>3964</v>
      </c>
    </row>
    <row r="14" customFormat="false" ht="16.15" hidden="false" customHeight="false" outlineLevel="0" collapsed="false">
      <c r="A14" s="19" t="s">
        <v>135</v>
      </c>
    </row>
    <row r="15" customFormat="false" ht="15" hidden="false" customHeight="false" outlineLevel="0" collapsed="false">
      <c r="A15" s="12" t="s">
        <v>136</v>
      </c>
      <c r="C15" s="28"/>
      <c r="D15" s="10" t="s">
        <v>137</v>
      </c>
      <c r="E15" s="29" t="s">
        <v>138</v>
      </c>
    </row>
    <row r="16" customFormat="false" ht="15" hidden="false" customHeight="false" outlineLevel="0" collapsed="false">
      <c r="A16" s="12" t="s">
        <v>139</v>
      </c>
      <c r="C16" s="28"/>
      <c r="D16" s="10" t="s">
        <v>137</v>
      </c>
      <c r="E16" s="29" t="s">
        <v>138</v>
      </c>
    </row>
    <row r="17" customFormat="false" ht="15" hidden="false" customHeight="false" outlineLevel="0" collapsed="false">
      <c r="A17" s="12" t="s">
        <v>140</v>
      </c>
      <c r="C17" s="28"/>
      <c r="D17" s="10" t="s">
        <v>137</v>
      </c>
      <c r="E17" s="29" t="s">
        <v>138</v>
      </c>
    </row>
    <row r="18" customFormat="false" ht="15" hidden="false" customHeight="false" outlineLevel="0" collapsed="false">
      <c r="A18" s="12" t="s">
        <v>141</v>
      </c>
      <c r="C18" s="28"/>
      <c r="D18" s="10" t="s">
        <v>137</v>
      </c>
      <c r="E18" s="29" t="s">
        <v>138</v>
      </c>
    </row>
    <row r="19" customFormat="false" ht="15" hidden="false" customHeight="false" outlineLevel="0" collapsed="false">
      <c r="A19" s="12" t="s">
        <v>142</v>
      </c>
      <c r="C19" s="28"/>
      <c r="D19" s="10" t="s">
        <v>137</v>
      </c>
      <c r="E19" s="29" t="s">
        <v>138</v>
      </c>
    </row>
    <row r="20" customFormat="false" ht="15" hidden="false" customHeight="false" outlineLevel="0" collapsed="false">
      <c r="A20" s="12" t="s">
        <v>143</v>
      </c>
      <c r="C20" s="28"/>
      <c r="D20" s="10" t="s">
        <v>137</v>
      </c>
      <c r="E20" s="29" t="s">
        <v>138</v>
      </c>
    </row>
    <row r="21" customFormat="false" ht="15" hidden="false" customHeight="false" outlineLevel="0" collapsed="false">
      <c r="A21" s="12" t="s">
        <v>144</v>
      </c>
      <c r="C21" s="28"/>
      <c r="D21" s="10" t="s">
        <v>137</v>
      </c>
      <c r="E21" s="29" t="s">
        <v>138</v>
      </c>
    </row>
    <row r="22" customFormat="false" ht="15" hidden="false" customHeight="false" outlineLevel="0" collapsed="false">
      <c r="A22" s="12" t="s">
        <v>145</v>
      </c>
      <c r="C22" s="28"/>
      <c r="D22" s="10" t="s">
        <v>137</v>
      </c>
      <c r="E22" s="29" t="s">
        <v>138</v>
      </c>
    </row>
    <row r="23" customFormat="false" ht="15" hidden="false" customHeight="false" outlineLevel="0" collapsed="false">
      <c r="A23" s="12" t="s">
        <v>146</v>
      </c>
      <c r="C23" s="16" t="n">
        <f aca="false">COUNTBLANK(C15:C22)</f>
        <v>8</v>
      </c>
    </row>
    <row r="25" customFormat="false" ht="15" hidden="false" customHeight="false" outlineLevel="0" collapsed="false">
      <c r="A25" s="12" t="s">
        <v>147</v>
      </c>
      <c r="C25" s="14" t="n">
        <f aca="false">C7-C12</f>
        <v>34495.0163934426</v>
      </c>
      <c r="E25" s="10" t="s">
        <v>148</v>
      </c>
    </row>
    <row r="26" customFormat="false" ht="15" hidden="false" customHeight="false" outlineLevel="0" collapsed="false">
      <c r="A26" s="12" t="s">
        <v>149</v>
      </c>
      <c r="C26" s="25" t="str">
        <f aca="false">IF(C23&gt;0,"Incompleto: faltan "&amp;C23&amp;" egresos",C7-C12-SUM(C15:C22))</f>
        <v>Incompleto: faltan 8 egresos</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3" min="2" style="0" width="18"/>
    <col collapsed="false" customWidth="true" hidden="false" outlineLevel="0" max="4" min="4" style="0" width="16"/>
    <col collapsed="false" customWidth="true" hidden="false" outlineLevel="0" max="5" min="5" style="0" width="50"/>
  </cols>
  <sheetData>
    <row r="1" customFormat="false" ht="16.15" hidden="false" customHeight="false" outlineLevel="0" collapsed="false">
      <c r="A1" s="1" t="s">
        <v>150</v>
      </c>
    </row>
    <row r="2" customFormat="false" ht="15" hidden="false" customHeight="false" outlineLevel="0" collapsed="false">
      <c r="A2" s="2" t="s">
        <v>41</v>
      </c>
    </row>
    <row r="4" customFormat="false" ht="30" hidden="false" customHeight="true" outlineLevel="0" collapsed="false">
      <c r="A4" s="4" t="s">
        <v>151</v>
      </c>
      <c r="B4" s="4" t="s">
        <v>152</v>
      </c>
      <c r="C4" s="4" t="s">
        <v>153</v>
      </c>
      <c r="D4" s="4" t="s">
        <v>85</v>
      </c>
      <c r="E4" s="4" t="s">
        <v>154</v>
      </c>
    </row>
    <row r="5" customFormat="false" ht="15" hidden="false" customHeight="false" outlineLevel="0" collapsed="false">
      <c r="A5" s="12" t="s">
        <v>155</v>
      </c>
      <c r="B5" s="25" t="n">
        <f aca="false">Ingresos_Gastos!B6</f>
        <v>3204.91803278689</v>
      </c>
      <c r="C5" s="9" t="n">
        <f aca="false">Parametros!$B$10</f>
        <v>3205</v>
      </c>
      <c r="D5" s="25" t="n">
        <f aca="false">B5-C5</f>
        <v>-0.0819672131146945</v>
      </c>
      <c r="E5" s="11" t="s">
        <v>156</v>
      </c>
    </row>
    <row r="6" customFormat="false" ht="15" hidden="false" customHeight="false" outlineLevel="0" collapsed="false">
      <c r="A6" s="12" t="s">
        <v>157</v>
      </c>
      <c r="B6" s="25" t="n">
        <f aca="false">Ingresos_Gastos!C7</f>
        <v>38459.0163934426</v>
      </c>
      <c r="C6" s="9" t="n">
        <f aca="false">Parametros!$B$11</f>
        <v>38459</v>
      </c>
      <c r="D6" s="25" t="n">
        <f aca="false">B6-C6</f>
        <v>0.0163934426236665</v>
      </c>
      <c r="E6" s="11" t="s">
        <v>158</v>
      </c>
    </row>
    <row r="7" customFormat="false" ht="15" hidden="false" customHeight="false" outlineLevel="0" collapsed="false">
      <c r="A7" s="12" t="s">
        <v>159</v>
      </c>
      <c r="B7" s="25" t="n">
        <f aca="false">Ingresos_Gastos!$C$25</f>
        <v>34495.0163934426</v>
      </c>
      <c r="C7" s="9" t="n">
        <f aca="false">Parametros!$B$12</f>
        <v>34495</v>
      </c>
      <c r="D7" s="25" t="n">
        <f aca="false">B7-C7</f>
        <v>0.0163934426236665</v>
      </c>
      <c r="E7" s="11" t="s">
        <v>160</v>
      </c>
    </row>
    <row r="8" customFormat="false" ht="15" hidden="false" customHeight="false" outlineLevel="0" collapsed="false">
      <c r="A8" s="12" t="s">
        <v>161</v>
      </c>
      <c r="B8" s="30" t="n">
        <f aca="false">B6/Parametros!$B$5</f>
        <v>0.113114754098361</v>
      </c>
      <c r="C8" s="31" t="n">
        <f aca="false">Parametros!$B$13</f>
        <v>0.113</v>
      </c>
      <c r="D8" s="30" t="n">
        <f aca="false">B8-C8</f>
        <v>0.000114754098360662</v>
      </c>
      <c r="E8" s="11" t="s">
        <v>162</v>
      </c>
    </row>
    <row r="9" customFormat="false" ht="23.85" hidden="false" customHeight="false" outlineLevel="0" collapsed="false">
      <c r="A9" s="12" t="s">
        <v>163</v>
      </c>
      <c r="B9" s="30" t="n">
        <f aca="false">B7/Parametros!$B$5</f>
        <v>0.101455930568949</v>
      </c>
      <c r="C9" s="31" t="n">
        <f aca="false">Parametros!$B$14</f>
        <v>0.1015</v>
      </c>
      <c r="D9" s="30" t="n">
        <f aca="false">B9-C9</f>
        <v>-4.40694310511192E-005</v>
      </c>
      <c r="E9" s="11" t="s">
        <v>164</v>
      </c>
    </row>
    <row r="11" customFormat="false" ht="16.15" hidden="false" customHeight="false" outlineLevel="0" collapsed="false">
      <c r="A11" s="19" t="s">
        <v>165</v>
      </c>
    </row>
    <row r="12" customFormat="false" ht="15" hidden="false" customHeight="false" outlineLevel="0" collapsed="false">
      <c r="A12" s="12" t="s">
        <v>166</v>
      </c>
      <c r="B12" s="30" t="n">
        <f aca="false">Parametros!$B$8/B6</f>
        <v>0.0718687127024723</v>
      </c>
      <c r="E12" s="8" t="s">
        <v>167</v>
      </c>
    </row>
    <row r="13" customFormat="false" ht="15" hidden="false" customHeight="false" outlineLevel="0" collapsed="false">
      <c r="A13" s="12" t="s">
        <v>168</v>
      </c>
      <c r="B13" s="26" t="n">
        <f aca="false">Parametros!$B$15</f>
        <v>34500</v>
      </c>
      <c r="C13" s="25" t="n">
        <f aca="false">B7</f>
        <v>34495.0163934426</v>
      </c>
      <c r="D13" s="25" t="n">
        <f aca="false">B13-C13</f>
        <v>4.98360655737633</v>
      </c>
      <c r="E13" s="10" t="s">
        <v>169</v>
      </c>
    </row>
    <row r="14" customFormat="false" ht="15" hidden="false" customHeight="false" outlineLevel="0" collapsed="false">
      <c r="A14" s="12" t="s">
        <v>170</v>
      </c>
      <c r="B14" s="30" t="n">
        <f aca="false">B9</f>
        <v>0.101455930568949</v>
      </c>
      <c r="E14" s="10" t="s">
        <v>171</v>
      </c>
    </row>
    <row r="15" customFormat="false" ht="15" hidden="false" customHeight="false" outlineLevel="0" collapsed="false">
      <c r="A15" s="12" t="s">
        <v>172</v>
      </c>
      <c r="B15" s="32" t="n">
        <f aca="false">Parametros!$B$5/Conciliacion!C11</f>
        <v>26153.8461538462</v>
      </c>
      <c r="E15" s="8" t="s">
        <v>173</v>
      </c>
    </row>
    <row r="16" customFormat="false" ht="15" hidden="false" customHeight="false" outlineLevel="0" collapsed="false">
      <c r="A16" s="12" t="s">
        <v>174</v>
      </c>
      <c r="B16" s="33" t="n">
        <f aca="false">Parametros!$B$5/B6</f>
        <v>8.84057971014493</v>
      </c>
      <c r="E16" s="8" t="s">
        <v>175</v>
      </c>
    </row>
    <row r="17" customFormat="false" ht="16.15" hidden="false" customHeight="false" outlineLevel="0" collapsed="false">
      <c r="A17" s="19" t="s">
        <v>176</v>
      </c>
    </row>
    <row r="18" customFormat="false" ht="30" hidden="false" customHeight="true" outlineLevel="0" collapsed="false">
      <c r="A18" s="4" t="s">
        <v>177</v>
      </c>
      <c r="B18" s="4" t="s">
        <v>178</v>
      </c>
      <c r="C18" s="4" t="s">
        <v>179</v>
      </c>
      <c r="D18" s="4" t="s">
        <v>180</v>
      </c>
      <c r="E18" s="4" t="s">
        <v>181</v>
      </c>
    </row>
    <row r="19" customFormat="false" ht="15" hidden="false" customHeight="false" outlineLevel="0" collapsed="false">
      <c r="A19" s="12" t="s">
        <v>182</v>
      </c>
      <c r="B19" s="34" t="n">
        <f aca="false">Parametros!$B$6</f>
        <v>6100</v>
      </c>
      <c r="C19" s="25" t="n">
        <f aca="false">Ingresos_Gastos!B5*12/B19</f>
        <v>38459.0163934426</v>
      </c>
      <c r="D19" s="30" t="n">
        <f aca="false">C19/Parametros!$B$5</f>
        <v>0.113114754098361</v>
      </c>
      <c r="E19" s="30" t="n">
        <f aca="false">(C19-Ingresos_Gastos!C12)/Parametros!$B$5</f>
        <v>0.101455930568949</v>
      </c>
    </row>
    <row r="20" customFormat="false" ht="15" hidden="false" customHeight="false" outlineLevel="0" collapsed="false">
      <c r="A20" s="12" t="s">
        <v>183</v>
      </c>
      <c r="B20" s="34" t="str">
        <f aca="false">IF(ISBLANK(Parametros!$B$20),"PENDIENTE",Parametros!$B$20)</f>
        <v>PENDIENTE</v>
      </c>
      <c r="C20" s="25" t="str">
        <f aca="false">IF(ISNUMBER(B20),Ingresos_Gastos!B5*12/B20,"PENDIENTE")</f>
        <v>PENDIENTE</v>
      </c>
      <c r="D20" s="30" t="str">
        <f aca="false">IF(ISNUMBER(C20),C20/Parametros!$B$5,"PENDIENTE")</f>
        <v>PENDIENTE</v>
      </c>
      <c r="E20" s="8" t="str">
        <f aca="false">IF(ISNUMBER(C20),"Fuente: "&amp;Parametros!$B$21,"Cargar TC y fuente en Parametros!B20:B21")</f>
        <v>Cargar TC y fuente en Parametros!B20:B21</v>
      </c>
    </row>
    <row r="21" customFormat="false" ht="15" hidden="false" customHeight="false" outlineLevel="0" collapsed="false">
      <c r="A21" s="2" t="s">
        <v>184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2" min="2" style="0" width="18"/>
    <col collapsed="false" customWidth="true" hidden="false" outlineLevel="0" max="3" min="3" style="0" width="16"/>
    <col collapsed="false" customWidth="true" hidden="false" outlineLevel="0" max="4" min="4" style="0" width="58"/>
  </cols>
  <sheetData>
    <row r="1" customFormat="false" ht="16.15" hidden="false" customHeight="false" outlineLevel="0" collapsed="false">
      <c r="A1" s="1" t="s">
        <v>185</v>
      </c>
    </row>
    <row r="2" customFormat="false" ht="15" hidden="false" customHeight="false" outlineLevel="0" collapsed="false">
      <c r="A2" s="2" t="s">
        <v>41</v>
      </c>
    </row>
    <row r="4" customFormat="false" ht="30" hidden="false" customHeight="true" outlineLevel="0" collapsed="false">
      <c r="A4" s="4" t="s">
        <v>186</v>
      </c>
      <c r="B4" s="4" t="s">
        <v>100</v>
      </c>
      <c r="C4" s="4" t="s">
        <v>120</v>
      </c>
      <c r="D4" s="4" t="s">
        <v>121</v>
      </c>
    </row>
    <row r="5" customFormat="false" ht="15" hidden="false" customHeight="false" outlineLevel="0" collapsed="false">
      <c r="A5" s="12" t="s">
        <v>187</v>
      </c>
      <c r="B5" s="35" t="n">
        <v>340000</v>
      </c>
      <c r="C5" s="8" t="s">
        <v>188</v>
      </c>
      <c r="D5" s="11" t="s">
        <v>189</v>
      </c>
    </row>
    <row r="6" customFormat="false" ht="23.85" hidden="false" customHeight="false" outlineLevel="0" collapsed="false">
      <c r="A6" s="12" t="s">
        <v>190</v>
      </c>
      <c r="B6" s="7" t="n">
        <v>6100</v>
      </c>
      <c r="C6" s="8" t="s">
        <v>188</v>
      </c>
      <c r="D6" s="11" t="s">
        <v>191</v>
      </c>
    </row>
    <row r="7" customFormat="false" ht="15" hidden="false" customHeight="false" outlineLevel="0" collapsed="false">
      <c r="A7" s="12" t="s">
        <v>192</v>
      </c>
      <c r="B7" s="6" t="n">
        <v>19550000</v>
      </c>
      <c r="C7" s="8" t="s">
        <v>188</v>
      </c>
      <c r="D7" s="11" t="s">
        <v>193</v>
      </c>
    </row>
    <row r="8" customFormat="false" ht="15" hidden="false" customHeight="false" outlineLevel="0" collapsed="false">
      <c r="A8" s="12" t="s">
        <v>194</v>
      </c>
      <c r="B8" s="35" t="n">
        <v>2764</v>
      </c>
      <c r="C8" s="8" t="s">
        <v>188</v>
      </c>
      <c r="D8" s="11" t="s">
        <v>195</v>
      </c>
    </row>
    <row r="9" customFormat="false" ht="15" hidden="false" customHeight="false" outlineLevel="0" collapsed="false">
      <c r="A9" s="12" t="s">
        <v>196</v>
      </c>
      <c r="B9" s="35" t="n">
        <v>1200</v>
      </c>
      <c r="C9" s="8" t="s">
        <v>188</v>
      </c>
      <c r="D9" s="11" t="s">
        <v>197</v>
      </c>
    </row>
    <row r="10" customFormat="false" ht="15" hidden="false" customHeight="false" outlineLevel="0" collapsed="false">
      <c r="A10" s="12" t="s">
        <v>198</v>
      </c>
      <c r="B10" s="35" t="n">
        <v>3205</v>
      </c>
      <c r="C10" s="8" t="s">
        <v>188</v>
      </c>
      <c r="D10" s="11" t="s">
        <v>199</v>
      </c>
    </row>
    <row r="11" customFormat="false" ht="15" hidden="false" customHeight="false" outlineLevel="0" collapsed="false">
      <c r="A11" s="12" t="s">
        <v>200</v>
      </c>
      <c r="B11" s="35" t="n">
        <v>38459</v>
      </c>
      <c r="C11" s="8" t="s">
        <v>188</v>
      </c>
      <c r="D11" s="11" t="s">
        <v>201</v>
      </c>
    </row>
    <row r="12" customFormat="false" ht="15" hidden="false" customHeight="false" outlineLevel="0" collapsed="false">
      <c r="A12" s="12" t="s">
        <v>202</v>
      </c>
      <c r="B12" s="35" t="n">
        <v>34495</v>
      </c>
      <c r="C12" s="8" t="s">
        <v>188</v>
      </c>
      <c r="D12" s="11" t="s">
        <v>203</v>
      </c>
    </row>
    <row r="13" customFormat="false" ht="15" hidden="false" customHeight="false" outlineLevel="0" collapsed="false">
      <c r="A13" s="12" t="s">
        <v>204</v>
      </c>
      <c r="B13" s="36" t="n">
        <v>0.113</v>
      </c>
      <c r="C13" s="8" t="s">
        <v>188</v>
      </c>
      <c r="D13" s="11" t="s">
        <v>205</v>
      </c>
    </row>
    <row r="14" customFormat="false" ht="15" hidden="false" customHeight="false" outlineLevel="0" collapsed="false">
      <c r="A14" s="12" t="s">
        <v>206</v>
      </c>
      <c r="B14" s="37" t="n">
        <v>0.1015</v>
      </c>
      <c r="C14" s="8" t="s">
        <v>188</v>
      </c>
      <c r="D14" s="11" t="s">
        <v>207</v>
      </c>
    </row>
    <row r="15" customFormat="false" ht="23.85" hidden="false" customHeight="false" outlineLevel="0" collapsed="false">
      <c r="A15" s="12" t="s">
        <v>208</v>
      </c>
      <c r="B15" s="35" t="n">
        <v>34500</v>
      </c>
      <c r="C15" s="8" t="s">
        <v>188</v>
      </c>
      <c r="D15" s="11" t="s">
        <v>209</v>
      </c>
    </row>
    <row r="16" customFormat="false" ht="15" hidden="false" customHeight="false" outlineLevel="0" collapsed="false">
      <c r="A16" s="12" t="s">
        <v>210</v>
      </c>
      <c r="B16" s="18" t="n">
        <v>6</v>
      </c>
      <c r="C16" s="8" t="s">
        <v>188</v>
      </c>
      <c r="D16" s="11" t="s">
        <v>211</v>
      </c>
    </row>
    <row r="17" customFormat="false" ht="15" hidden="false" customHeight="false" outlineLevel="0" collapsed="false">
      <c r="A17" s="12" t="s">
        <v>212</v>
      </c>
      <c r="B17" s="18" t="n">
        <v>6</v>
      </c>
      <c r="C17" s="8" t="s">
        <v>188</v>
      </c>
      <c r="D17" s="11" t="s">
        <v>211</v>
      </c>
    </row>
    <row r="18" customFormat="false" ht="15" hidden="false" customHeight="false" outlineLevel="0" collapsed="false">
      <c r="A18" s="12" t="s">
        <v>213</v>
      </c>
      <c r="B18" s="18" t="n">
        <v>1</v>
      </c>
      <c r="C18" s="8" t="s">
        <v>188</v>
      </c>
      <c r="D18" s="11" t="s">
        <v>211</v>
      </c>
    </row>
    <row r="19" customFormat="false" ht="15" hidden="false" customHeight="false" outlineLevel="0" collapsed="false">
      <c r="A19" s="12" t="s">
        <v>214</v>
      </c>
      <c r="B19" s="18" t="n">
        <v>1</v>
      </c>
      <c r="C19" s="8" t="s">
        <v>188</v>
      </c>
      <c r="D19" s="11" t="s">
        <v>211</v>
      </c>
    </row>
    <row r="20" customFormat="false" ht="23.85" hidden="false" customHeight="false" outlineLevel="0" collapsed="false">
      <c r="A20" s="12" t="s">
        <v>215</v>
      </c>
      <c r="B20" s="38"/>
      <c r="C20" s="10" t="s">
        <v>137</v>
      </c>
      <c r="D20" s="11" t="s">
        <v>216</v>
      </c>
    </row>
    <row r="21" customFormat="false" ht="15" hidden="false" customHeight="false" outlineLevel="0" collapsed="false">
      <c r="A21" s="12" t="s">
        <v>217</v>
      </c>
      <c r="B21" s="39"/>
      <c r="C21" s="10" t="s">
        <v>137</v>
      </c>
      <c r="D21" s="11" t="s">
        <v>218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2026-10-02T22:21:49Z</dcterms:created>
  <dc:creator>openpyxl</dc:creator>
  <dc:description/>
  <dc:language>en-US</dc:language>
  <cp:lastModifiedBy/>
  <dcterms:modified xsi:type="dcterms:W3CDTF">2026-10-02T22:21:49Z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