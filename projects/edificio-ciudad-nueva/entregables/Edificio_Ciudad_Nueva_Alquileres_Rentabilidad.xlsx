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ntabilidad" sheetId="1" state="visible" r:id="rId3"/>
    <sheet name="Ingresos_Gastos" sheetId="2" state="visible" r:id="rId4"/>
    <sheet name="Superficies_Valor" sheetId="3" state="visible" r:id="rId5"/>
    <sheet name="Proyeccion" sheetId="4" state="visible" r:id="rId6"/>
    <sheet name="Plusvalia" sheetId="5" state="visible" r:id="rId7"/>
    <sheet name="Alquileres_Unidad" sheetId="6" state="visible" r:id="rId8"/>
    <sheet name="Conciliacion" sheetId="7" state="visible" r:id="rId9"/>
    <sheet name="Datos_Originales" sheetId="8" state="visible" r:id="rId10"/>
    <sheet name="Parametro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<sst xmlns="http://schemas.openxmlformats.org/spreadsheetml/2006/main" count="435" uniqueCount="284">
  <si>
    <t xml:space="preserve">Rentabilidad sobre el precio — tipo de cambio del día</t>
  </si>
  <si>
    <t xml:space="preserve">Leyenda: azul = dato o parámetro editable; negro = fórmula; verde = vínculo a otra hoja; rojo itálica = supuesto o criterio a tener presente.</t>
  </si>
  <si>
    <t xml:space="preserve">Indicador</t>
  </si>
  <si>
    <t xml:space="preserve">Valor</t>
  </si>
  <si>
    <t xml:space="preserve">Base de cálculo</t>
  </si>
  <si>
    <t xml:space="preserve">Rentabilidad bruta</t>
  </si>
  <si>
    <t xml:space="preserve">Ingreso bruto anual / precio.</t>
  </si>
  <si>
    <t xml:space="preserve">Rentabilidad neta antes de impuesto a la renta</t>
  </si>
  <si>
    <t xml:space="preserve">Resultado operativo / precio.</t>
  </si>
  <si>
    <t xml:space="preserve">Rentabilidad neta final</t>
  </si>
  <si>
    <t xml:space="preserve">Resultado neto (después de IVA, vacancia, administración, mantenimiento, gastos fijos e IRE estimado) / precio.</t>
  </si>
  <si>
    <t xml:space="preserve">Múltiplo precio / ingreso bruto anual (veces)</t>
  </si>
  <si>
    <t xml:space="preserve">Años de ingreso bruto equivalentes al precio.</t>
  </si>
  <si>
    <t xml:space="preserve">Ingreso neto mensual (USD)</t>
  </si>
  <si>
    <t xml:space="preserve">Comparación con la planilla original del propietario (referencia)</t>
  </si>
  <si>
    <t xml:space="preserve">Observación</t>
  </si>
  <si>
    <t xml:space="preserve">Ingreso bruto anual al TC de la planilla (USD)</t>
  </si>
  <si>
    <t xml:space="preserve">Con Gs 6.100: USD 38.459. Al TC del día el mismo ingreso en guaraníes equivale a más dólares.</t>
  </si>
  <si>
    <t xml:space="preserve">Rentabilidad bruta al TC de la planilla</t>
  </si>
  <si>
    <t xml:space="preserve">Rentabilidad 'neta' de la planilla (solo impuesto USD 2.764 y gastos USD 1.200)</t>
  </si>
  <si>
    <t xml:space="preserve">Reemplazada por el cálculo completo de arriba (IVA por concepto, vacancia, administración, mantenimiento, IRE).</t>
  </si>
  <si>
    <t xml:space="preserve">Indicadores sobre el precio de venta, sin gastos de adquisición (escribanía, impuestos de transferencia, honorarios). No constituyen rentabilidad garantizada.</t>
  </si>
  <si>
    <t xml:space="preserve">Sensibilidad al tipo de cambio (mismo ingreso en guaraníes)</t>
  </si>
  <si>
    <t xml:space="preserve">Tipo de cambio (Gs/USD)</t>
  </si>
  <si>
    <t xml:space="preserve">Rent. bruta</t>
  </si>
  <si>
    <t xml:space="preserve">Rent. neta final</t>
  </si>
  <si>
    <t xml:space="preserve">Planilla original: 6.100</t>
  </si>
  <si>
    <t xml:space="preserve">Actualización 02/10/2026: 5.873</t>
  </si>
  <si>
    <t xml:space="preserve">Hoy (09/10/2026): TC del día</t>
  </si>
  <si>
    <t xml:space="preserve">Escenario: 6.300</t>
  </si>
  <si>
    <t xml:space="preserve">Los alquileres se cobran en guaraníes: si el guaraní se aprecia (TC más bajo), la renta en USD sube; si se deprecia, baja.</t>
  </si>
  <si>
    <t xml:space="preserve">Ingresos y egresos anuales — tipo de cambio del día</t>
  </si>
  <si>
    <t xml:space="preserve">Concepto</t>
  </si>
  <si>
    <t xml:space="preserve">USD por año</t>
  </si>
  <si>
    <t xml:space="preserve">% del bruto</t>
  </si>
  <si>
    <t xml:space="preserve">Ingreso mensual (Gs)</t>
  </si>
  <si>
    <t xml:space="preserve">Suma del detalle de alquileres.</t>
  </si>
  <si>
    <t xml:space="preserve">Ingreso mensual (USD)</t>
  </si>
  <si>
    <t xml:space="preserve">Gs mensual / tipo de cambio del día.</t>
  </si>
  <si>
    <t xml:space="preserve">Ingreso bruto anual</t>
  </si>
  <si>
    <t xml:space="preserve">Ingreso mensual USD × 12.</t>
  </si>
  <si>
    <t xml:space="preserve">IVA (5% departamentos, 10% local y cocheras)</t>
  </si>
  <si>
    <t xml:space="preserve">IVA por concepto (hoja Alquileres_Unidad), anualizado.</t>
  </si>
  <si>
    <t xml:space="preserve">Vacancia</t>
  </si>
  <si>
    <t xml:space="preserve">3% del bruto: zona de alto tránsito y demanda.</t>
  </si>
  <si>
    <t xml:space="preserve">Administración</t>
  </si>
  <si>
    <t xml:space="preserve">8% del bruto.</t>
  </si>
  <si>
    <t xml:space="preserve">Mantenimiento</t>
  </si>
  <si>
    <t xml:space="preserve">5% del bruto (criterio Meridiano).</t>
  </si>
  <si>
    <t xml:space="preserve">Gastos fijos informados</t>
  </si>
  <si>
    <t xml:space="preserve">Planilla del propietario, verificada.</t>
  </si>
  <si>
    <t xml:space="preserve">Resultado operativo antes de impuesto a la renta</t>
  </si>
  <si>
    <t xml:space="preserve">Bruto − IVA − vacancia − administración − mantenimiento − gastos fijos.</t>
  </si>
  <si>
    <t xml:space="preserve">Impuesto a la renta estimado (IRE 10%)</t>
  </si>
  <si>
    <t xml:space="preserve">Estimación conservadora (sin depreciación).</t>
  </si>
  <si>
    <t xml:space="preserve">Resultado neto anual</t>
  </si>
  <si>
    <t xml:space="preserve">Ingreso neto para el inversor.</t>
  </si>
  <si>
    <t xml:space="preserve">Lectura mensual del resultado neto (USD)</t>
  </si>
  <si>
    <t xml:space="preserve">IVA efectivo sobre el bruto</t>
  </si>
  <si>
    <t xml:space="preserve">Superficies y valor del inmueble</t>
  </si>
  <si>
    <t xml:space="preserve">Terreno: frente × fondo (m²)</t>
  </si>
  <si>
    <t xml:space="preserve">11 × 31 = 341 m² (control aritmético).</t>
  </si>
  <si>
    <t xml:space="preserve">Superficie de terreno informada (m²)</t>
  </si>
  <si>
    <t xml:space="preserve">Se usa la superficie informada (340 m²).</t>
  </si>
  <si>
    <t xml:space="preserve">Superficie construida total (m²)</t>
  </si>
  <si>
    <t xml:space="preserve">Informada por el founder.</t>
  </si>
  <si>
    <t xml:space="preserve">Índice de construcción (m² construidos / m² de terreno)</t>
  </si>
  <si>
    <t xml:space="preserve">Veces la superficie del terreno.</t>
  </si>
  <si>
    <t xml:space="preserve">Precio por m² construido (USD, terreno incluido)</t>
  </si>
  <si>
    <t xml:space="preserve">Precio / superficie construida.</t>
  </si>
  <si>
    <t xml:space="preserve">Precio por m² de terreno (USD, construcción incluida)</t>
  </si>
  <si>
    <t xml:space="preserve">Precio / superficie del terreno.</t>
  </si>
  <si>
    <t xml:space="preserve">Costo de construir hoy la misma superficie (USD, sin terreno)</t>
  </si>
  <si>
    <t xml:space="preserve">1.109 m² × USD 650/m² (edificio de departamentos, calidad básica, obra nueva).</t>
  </si>
  <si>
    <t xml:space="preserve">Precio / costo de construcción nueva</t>
  </si>
  <si>
    <t xml:space="preserve">El precio equivale a este % del costo de levantar hoy un edificio de igual superficie, sin contar el terreno.</t>
  </si>
  <si>
    <t xml:space="preserve">Unidades que generan renta (13 dptos. + local)</t>
  </si>
  <si>
    <t xml:space="preserve">Composición comercial.</t>
  </si>
  <si>
    <t xml:space="preserve">Precio por unidad (USD)</t>
  </si>
  <si>
    <t xml:space="preserve">Precio / 14 unidades.</t>
  </si>
  <si>
    <t xml:space="preserve">Comparable: precio por unidad del edificio publicado en Ciudad Nueva (USD)</t>
  </si>
  <si>
    <t xml:space="preserve">USD 650.000 / 9 unidades (precio de oferta).</t>
  </si>
  <si>
    <t xml:space="preserve">Ingreso bruto anual por m² construido (USD)</t>
  </si>
  <si>
    <t xml:space="preserve">Ingreso bruto anual / m² construidos.</t>
  </si>
  <si>
    <t xml:space="preserve">Referencias, no tasación: el edificio es usado (antigüedad no informada) y el costo de reposición no descuenta depreciación. El comparable es un precio de oferta sin superficie publicada.</t>
  </si>
  <si>
    <t xml:space="preserve">Proyección de alquiler a 5 años — tres escenarios (USD, TC del día constante)</t>
  </si>
  <si>
    <t xml:space="preserve">Año</t>
  </si>
  <si>
    <t xml:space="preserve">Bruto — conservador</t>
  </si>
  <si>
    <t xml:space="preserve">Neto — conservador</t>
  </si>
  <si>
    <t xml:space="preserve">Bruto — base</t>
  </si>
  <si>
    <t xml:space="preserve">Neto — base</t>
  </si>
  <si>
    <t xml:space="preserve">Bruto — optimista</t>
  </si>
  <si>
    <t xml:space="preserve">Neto — optimista</t>
  </si>
  <si>
    <t xml:space="preserve">Total 5 años</t>
  </si>
  <si>
    <t xml:space="preserve">Crecimiento anual</t>
  </si>
  <si>
    <t xml:space="preserve">Supuestos: crecimiento de alquileres en guaraníes; IVA, vacancia, administración y mantenimiento como % del bruto; gastos fijos constantes; IRE 10% estimado; tipo de cambio del día constante. Proyección ilustrativa, no garantizada.</t>
  </si>
  <si>
    <t xml:space="preserve">Referencia de mercado: alquiler actual vs. avisos publicados en Ciudad Nueva</t>
  </si>
  <si>
    <t xml:space="preserve">Tipología</t>
  </si>
  <si>
    <t xml:space="preserve">Promedio actual (Gs)</t>
  </si>
  <si>
    <t xml:space="preserve">Mercado bajo (Gs)</t>
  </si>
  <si>
    <t xml:space="preserve">Mercado alto (Gs)</t>
  </si>
  <si>
    <t xml:space="preserve">Brecha vs. bajo</t>
  </si>
  <si>
    <t xml:space="preserve">Unidades</t>
  </si>
  <si>
    <t xml:space="preserve">1 dormitorio</t>
  </si>
  <si>
    <t xml:space="preserve">2 dormitorios</t>
  </si>
  <si>
    <t xml:space="preserve">Local comercial (desde)</t>
  </si>
  <si>
    <t xml:space="preserve">Avisos publicados (InfoCasas, consulta 10/10/2026, categoría C): incluyen unidades más nuevas o con amenities, por lo que no son comparables directos. La brecha indica margen de ajuste en renovaciones, sujeto al estado de cada unidad.</t>
  </si>
  <si>
    <t xml:space="preserve">Plusvalía y retorno total a 5 años — tres escenarios</t>
  </si>
  <si>
    <t xml:space="preserve">Conservador</t>
  </si>
  <si>
    <t xml:space="preserve">Base</t>
  </si>
  <si>
    <t xml:space="preserve">Optimista</t>
  </si>
  <si>
    <t xml:space="preserve">Valorización anual supuesta</t>
  </si>
  <si>
    <t xml:space="preserve">Valor estimado al año 5</t>
  </si>
  <si>
    <t xml:space="preserve">Plusvalía estimada</t>
  </si>
  <si>
    <t xml:space="preserve">IVA de venta (1,5% efectivo)</t>
  </si>
  <si>
    <t xml:space="preserve">Renta neta acumulada 5 años</t>
  </si>
  <si>
    <t xml:space="preserve">Ganancia total estimada (plusvalía neta + renta)</t>
  </si>
  <si>
    <t xml:space="preserve">Ganancia total / precio</t>
  </si>
  <si>
    <t xml:space="preserve">Flujo para TIR (USD)</t>
  </si>
  <si>
    <t xml:space="preserve">Año 0 — compra</t>
  </si>
  <si>
    <t xml:space="preserve">Año 1</t>
  </si>
  <si>
    <t xml:space="preserve">Año 2</t>
  </si>
  <si>
    <t xml:space="preserve">Año 3</t>
  </si>
  <si>
    <t xml:space="preserve">Año 4</t>
  </si>
  <si>
    <t xml:space="preserve">Año 5 (incluye venta)</t>
  </si>
  <si>
    <t xml:space="preserve">TIR estimada a 5 años</t>
  </si>
  <si>
    <t xml:space="preserve">Escenarios hipotéticos: no constituyen garantía de plusvalía ni de rentabilidad. Sin gastos de adquisición ni comisión de venta. El valor de salida depende del mercado, del estado del edificio y de la ocupación al momento de vender.</t>
  </si>
  <si>
    <t xml:space="preserve">Alquileres por unidad — datos informados con verificación documental</t>
  </si>
  <si>
    <t xml:space="preserve">N°</t>
  </si>
  <si>
    <t xml:space="preserve">Ref.</t>
  </si>
  <si>
    <t xml:space="preserve">Piso</t>
  </si>
  <si>
    <t xml:space="preserve">Texto original</t>
  </si>
  <si>
    <t xml:space="preserve">IVA</t>
  </si>
  <si>
    <t xml:space="preserve">Alquiler mensual (Gs)</t>
  </si>
  <si>
    <t xml:space="preserve">USD (TC del día)</t>
  </si>
  <si>
    <t xml:space="preserve">IVA mensual (Gs)</t>
  </si>
  <si>
    <t xml:space="preserve">Estado</t>
  </si>
  <si>
    <t xml:space="preserve">P3-01</t>
  </si>
  <si>
    <t xml:space="preserve">Tercer piso</t>
  </si>
  <si>
    <t xml:space="preserve">2 dorm.</t>
  </si>
  <si>
    <t xml:space="preserve">Departamento</t>
  </si>
  <si>
    <t xml:space="preserve">Informado con verificación documental</t>
  </si>
  <si>
    <t xml:space="preserve">P3-02</t>
  </si>
  <si>
    <t xml:space="preserve">P3-03</t>
  </si>
  <si>
    <t xml:space="preserve">1 dorm.</t>
  </si>
  <si>
    <t xml:space="preserve">P3-04</t>
  </si>
  <si>
    <t xml:space="preserve">P2-01</t>
  </si>
  <si>
    <t xml:space="preserve">Segundo piso</t>
  </si>
  <si>
    <t xml:space="preserve">P2-02</t>
  </si>
  <si>
    <t xml:space="preserve">P2-03</t>
  </si>
  <si>
    <t xml:space="preserve">P2-04</t>
  </si>
  <si>
    <t xml:space="preserve">P2-05</t>
  </si>
  <si>
    <t xml:space="preserve">P1-01</t>
  </si>
  <si>
    <t xml:space="preserve">Primer piso</t>
  </si>
  <si>
    <t xml:space="preserve">P1-02</t>
  </si>
  <si>
    <t xml:space="preserve">3 dorm.</t>
  </si>
  <si>
    <t xml:space="preserve">3 dormitorios</t>
  </si>
  <si>
    <t xml:space="preserve">PB-01</t>
  </si>
  <si>
    <t xml:space="preserve">Planta baja</t>
  </si>
  <si>
    <t xml:space="preserve">PB-02</t>
  </si>
  <si>
    <t xml:space="preserve">PB-03</t>
  </si>
  <si>
    <t xml:space="preserve">Cochera</t>
  </si>
  <si>
    <t xml:space="preserve">No aplica</t>
  </si>
  <si>
    <t xml:space="preserve">IVA 10% (concepto no residencial).</t>
  </si>
  <si>
    <t xml:space="preserve">PB-04</t>
  </si>
  <si>
    <t xml:space="preserve">Cochera y dpto</t>
  </si>
  <si>
    <t xml:space="preserve">Mixto</t>
  </si>
  <si>
    <t xml:space="preserve">Cochera y departamento</t>
  </si>
  <si>
    <t xml:space="preserve">IVA 10% por criterio conservador. Pendiente: identificar si esta fila corresponde al local comercial.</t>
  </si>
  <si>
    <t xml:space="preserve">TOTAL</t>
  </si>
  <si>
    <t xml:space="preserve">Estado confirmado por el founder el 03/10/2026: datos informados con verificación de documentación. La 'Ref.' es un identificador de trabajo según el orden del detalle, no la numeración real de las unidades.</t>
  </si>
  <si>
    <t xml:space="preserve">Sin datos personales de inquilinos: la fuente solo dice 'Inquilino'.</t>
  </si>
  <si>
    <t xml:space="preserve">Conciliación — composición comercial vs. detalle de alquileres</t>
  </si>
  <si>
    <t xml:space="preserve">Composición comercial</t>
  </si>
  <si>
    <t xml:space="preserve">Filas en el detalle</t>
  </si>
  <si>
    <t xml:space="preserve">Diferencia</t>
  </si>
  <si>
    <t xml:space="preserve">Resultado</t>
  </si>
  <si>
    <t xml:space="preserve">Departamentos 1 dormitorio</t>
  </si>
  <si>
    <t xml:space="preserve">Departamentos 2 dormitorios</t>
  </si>
  <si>
    <t xml:space="preserve">Departamentos 3 dormitorios</t>
  </si>
  <si>
    <t xml:space="preserve">Local comercial</t>
  </si>
  <si>
    <t xml:space="preserve">El local no figura con ese nombre en el detalle; 'Cochera y dpto' se trata a IVA 10% (criterio conservador).</t>
  </si>
  <si>
    <t xml:space="preserve">Suma recalculada vs. total indicado (Gs)</t>
  </si>
  <si>
    <t xml:space="preserve">Subtotal por piso</t>
  </si>
  <si>
    <t xml:space="preserve">Filas</t>
  </si>
  <si>
    <t xml:space="preserve">% del total</t>
  </si>
  <si>
    <t xml:space="preserve">Total</t>
  </si>
  <si>
    <t xml:space="preserve">Datos originales — transcripción literal del detalle y la planilla del propietario</t>
  </si>
  <si>
    <t xml:space="preserve">Texto y orden conservados tal como aparecen en las imágenes. Sin cálculos en esta hoja.</t>
  </si>
  <si>
    <t xml:space="preserve">Imagen 1 — Detalle de alquileres (columnas B, C, D de la captura)</t>
  </si>
  <si>
    <t xml:space="preserve">Columna B</t>
  </si>
  <si>
    <t xml:space="preserve">Columna C</t>
  </si>
  <si>
    <t xml:space="preserve">Columna D</t>
  </si>
  <si>
    <t xml:space="preserve">Edificio de departamentos</t>
  </si>
  <si>
    <t xml:space="preserve">Inquilino</t>
  </si>
  <si>
    <t xml:space="preserve">Planta Baja</t>
  </si>
  <si>
    <t xml:space="preserve">Cambio</t>
  </si>
  <si>
    <t xml:space="preserve">Nota: la última fila de la captura muestra 'Cambio | 6100 | ₲ 3.205'; el '₲' delante de 3.205 es de la fuente (es un valor en USD).</t>
  </si>
  <si>
    <t xml:space="preserve">Imagen 2 — Planilla 'RENTABILIDAD EDIFICIO DE APARTAMENTOS'</t>
  </si>
  <si>
    <t xml:space="preserve">Precio USD</t>
  </si>
  <si>
    <t xml:space="preserve">Renta Anual</t>
  </si>
  <si>
    <t xml:space="preserve">USD Mensual</t>
  </si>
  <si>
    <t xml:space="preserve">Gs Mensual</t>
  </si>
  <si>
    <t xml:space="preserve">Cambio / USD Anual</t>
  </si>
  <si>
    <t xml:space="preserve">Bruta (11,3%)</t>
  </si>
  <si>
    <t xml:space="preserve">6100 / 38.459</t>
  </si>
  <si>
    <t xml:space="preserve">Impuesto anual</t>
  </si>
  <si>
    <t xml:space="preserve">2.764</t>
  </si>
  <si>
    <t xml:space="preserve">Gastos anuales</t>
  </si>
  <si>
    <t xml:space="preserve">1.200</t>
  </si>
  <si>
    <t xml:space="preserve">Renta Neta</t>
  </si>
  <si>
    <t xml:space="preserve">34.495</t>
  </si>
  <si>
    <t xml:space="preserve">Renta Anual Neta</t>
  </si>
  <si>
    <t xml:space="preserve">10,15%</t>
  </si>
  <si>
    <t xml:space="preserve">340.000 | 100% | 34.495</t>
  </si>
  <si>
    <t xml:space="preserve">34.495 | X | 340.000</t>
  </si>
  <si>
    <t xml:space="preserve">(regla de tres de la fuente)</t>
  </si>
  <si>
    <t xml:space="preserve">Nota: en la planilla, 'Impuesto anual' y 'Gastos anuales' aparecen en la columna 'USD Mensual' pero sus valores son anuales (se repiten en 'USD Anual').</t>
  </si>
  <si>
    <t xml:space="preserve">Parámetros del análisis — todos editables</t>
  </si>
  <si>
    <t xml:space="preserve">Parámetro</t>
  </si>
  <si>
    <t xml:space="preserve">Tipo</t>
  </si>
  <si>
    <t xml:space="preserve">Fuente / criterio</t>
  </si>
  <si>
    <t xml:space="preserve">Precio de venta (USD)</t>
  </si>
  <si>
    <t xml:space="preserve">Dato confirmado</t>
  </si>
  <si>
    <t xml:space="preserve">Founder (WEB ID 143028006-118).</t>
  </si>
  <si>
    <t xml:space="preserve">Tipo de cambio del día (Gs por USD)</t>
  </si>
  <si>
    <t xml:space="preserve">Dato de mercado</t>
  </si>
  <si>
    <t xml:space="preserve">Cierre del mercado interbancario del viernes 09/10/2026 (último día hábil al sábado 10/10/2026): G. 5.694. Fuente: BCP, informado por ABC Color 09/10/2026 (mercado minorista ~G. 5.720). Actualización anterior: G. 5.873 (02/10/2026).</t>
  </si>
  <si>
    <t xml:space="preserve">Fecha del tipo de cambio</t>
  </si>
  <si>
    <t xml:space="preserve">09/10/2026</t>
  </si>
  <si>
    <t xml:space="preserve">D-100 (founder 03/10/2026): recalcular siempre al tipo de cambio del día, aunque la planilla traiga otro.</t>
  </si>
  <si>
    <t xml:space="preserve">Tipo de cambio de la planilla original (referencia histórica)</t>
  </si>
  <si>
    <t xml:space="preserve">Dato recibido</t>
  </si>
  <si>
    <t xml:space="preserve">Planilla del propietario (sin fecha). Solo para comparar; no se usa en los resultados.</t>
  </si>
  <si>
    <t xml:space="preserve">IVA alquiler residencial (departamentos)</t>
  </si>
  <si>
    <t xml:space="preserve">Founder 03/10/2026 + D-001/D-045 (parametros_mercado.json › fiscal).</t>
  </si>
  <si>
    <t xml:space="preserve">IVA alquiler comercial (local y cocheras)</t>
  </si>
  <si>
    <t xml:space="preserve">Founder 03/10/2026 + D-001. Criterio conservador: 'Cochera' y 'Cochera y dpto' tributan 10% (concepto no residencial) hasta identificar el local comercial.</t>
  </si>
  <si>
    <t xml:space="preserve">Vacancia (% del ingreso bruto)</t>
  </si>
  <si>
    <t xml:space="preserve">Supuesto del founder</t>
  </si>
  <si>
    <t xml:space="preserve">Zona de alto tránsito y demanda (Mercado 4 / Av. Eusebio Ayala). Coincide con vacancia_pct del motor (3%).</t>
  </si>
  <si>
    <t xml:space="preserve">Administración (% del ingreso bruto)</t>
  </si>
  <si>
    <t xml:space="preserve">Founder 03/10/2026 (el default del motor es 10%; para este caso rige 8%).</t>
  </si>
  <si>
    <t xml:space="preserve">Mantenimiento (% del ingreso bruto)</t>
  </si>
  <si>
    <t xml:space="preserve">Criterio Meridiano</t>
  </si>
  <si>
    <t xml:space="preserve">mantenimiento_pct = 5% (parametros_mercado.json › supuestos_operativos_default). Cubre reparaciones menores, pintura y recambios entre inquilinos; obras mayores (impermeabilización, fachada) se presupuestan aparte tras la inspección técnica.</t>
  </si>
  <si>
    <t xml:space="preserve">Gastos fijos anuales informados (USD)</t>
  </si>
  <si>
    <t xml:space="preserve">Planilla del propietario, verificada (founder 03/10/2026).</t>
  </si>
  <si>
    <t xml:space="preserve">Impuesto a la renta estimado (% del resultado)</t>
  </si>
  <si>
    <t xml:space="preserve">Criterio conservador</t>
  </si>
  <si>
    <t xml:space="preserve">IRE 10% (titularidad por S.A., Modelo A). Aplicado sobre el resultado operativo sin deducir depreciación del edificio: estimación conservadora; la base real la define el contador.</t>
  </si>
  <si>
    <t xml:space="preserve">IVA efectivo en la venta futura (% del precio)</t>
  </si>
  <si>
    <t xml:space="preserve">D-082/D-083: 30% base imponible × 5% = 1,5% efectivo.</t>
  </si>
  <si>
    <t xml:space="preserve">Crecimiento anual de alquileres — conservador</t>
  </si>
  <si>
    <t xml:space="preserve">Supuesto</t>
  </si>
  <si>
    <t xml:space="preserve">Por debajo de la inflación (IPC 12 meses usado para el ajuste fiscal 2026: 4,1%).</t>
  </si>
  <si>
    <t xml:space="preserve">Crecimiento anual de alquileres — base</t>
  </si>
  <si>
    <t xml:space="preserve">Inflación + ajuste gradual en renovaciones de contrato.</t>
  </si>
  <si>
    <t xml:space="preserve">Crecimiento anual de alquileres — optimista</t>
  </si>
  <si>
    <t xml:space="preserve">Convergencia hacia los valores publicados del barrio (ver Proyeccion).</t>
  </si>
  <si>
    <t xml:space="preserve">Valorización anual del inmueble (USD) — conservador</t>
  </si>
  <si>
    <t xml:space="preserve">Hipótesis de escenario, no garantizada.</t>
  </si>
  <si>
    <t xml:space="preserve">Valorización anual del inmueble (USD) — base</t>
  </si>
  <si>
    <t xml:space="preserve">Valorización anual del inmueble (USD) — optimista</t>
  </si>
  <si>
    <t xml:space="preserve">Mercado 1 dormitorio — valor bajo publicado (Gs/mes)</t>
  </si>
  <si>
    <t xml:space="preserve">Dato de mercado (C)</t>
  </si>
  <si>
    <t xml:space="preserve">InfoCasas, alquiler 1 dormitorio en Ciudad Nueva, consulta 10/10/2026 (avisos, no contratos): Gs 3.000.000 (44 m²) a Gs 3.200.000 (51 m²).</t>
  </si>
  <si>
    <t xml:space="preserve">Mercado 1 dormitorio — valor alto publicado (Gs/mes)</t>
  </si>
  <si>
    <t xml:space="preserve">Ídem.</t>
  </si>
  <si>
    <t xml:space="preserve">Mercado 2 dormitorios — valor bajo publicado (Gs/mes)</t>
  </si>
  <si>
    <t xml:space="preserve">InfoCasas, alquiler 2 dormitorios en Ciudad Nueva, consulta 10/10/2026 (77 avisos; desde Gs 2.100.000 por 100 m²).</t>
  </si>
  <si>
    <t xml:space="preserve">Mercado 2 dormitorios — valor alto publicado (Gs/mes)</t>
  </si>
  <si>
    <t xml:space="preserve">Mercado local comercial — desde (Gs/mes)</t>
  </si>
  <si>
    <t xml:space="preserve">InfoCasas, salones comerciales en Ciudad Nueva, consulta 03/10/2026 (sin cambios relevados al 10/10/2026).</t>
  </si>
  <si>
    <t xml:space="preserve">Frente del terreno (m)</t>
  </si>
  <si>
    <t xml:space="preserve">Founder 10/10/2026.</t>
  </si>
  <si>
    <t xml:space="preserve">Fondo del terreno (m)</t>
  </si>
  <si>
    <t xml:space="preserve">Superficie del terreno informada (m²)</t>
  </si>
  <si>
    <t xml:space="preserve">Founder 10/10/2026: 340 m². Nota: 11 × 31 = 341 m² (diferencia de 1 m², redondeo de medidas; se usa la superficie informada).</t>
  </si>
  <si>
    <t xml:space="preserve">Costo de construcción de referencia — edificio de departamentos, calidad básica (USD/m²)</t>
  </si>
  <si>
    <t xml:space="preserve">knowledge-base/investment/market-intelligence/construction-costs/06-costos-de-construccion.md (categoría A, founder 2026-08-15). Obra nueva terminada, sin terreno.</t>
  </si>
  <si>
    <t xml:space="preserve">Comparable: edificio en venta en Ciudad Nueva (USD)</t>
  </si>
  <si>
    <t xml:space="preserve">InfoCasas Ref #GB49D6: edificio de 5 niveles y 9 unidades en Ciudad Nueva, consulta 10/10/2026 (precio de oferta; superficie no publicada).</t>
  </si>
  <si>
    <t xml:space="preserve">Comparable: unidades del edificio publicado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</si>
</sst>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%"/>
    <numFmt numFmtId="166" formatCode="0.00"/>
    <numFmt numFmtId="167" formatCode="&quot;USD &quot;#,##0.00"/>
    <numFmt numFmtId="168" formatCode="&quot;₲ &quot;#,##0"/>
    <numFmt numFmtId="169" formatCode="0.0%"/>
    <numFmt numFmtId="170" formatCode="#,##0"/>
    <numFmt numFmtId="171" formatCode="&quot;USD &quot;#,##0"/>
    <numFmt numFmtId="172" formatCode="0%"/>
    <numFmt numFmtId="173" formatCode="0"/>
    <numFmt numFmtId="174" formatCode="0;\-0;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4313A"/>
      <name val="Arial"/>
      <family val="0"/>
      <charset val="1"/>
    </font>
    <font>
      <i val="true"/>
      <sz val="9"/>
      <color rgb="FF6B6154"/>
      <name val="Arial"/>
      <family val="0"/>
      <charset val="1"/>
    </font>
    <font>
      <b val="true"/>
      <sz val="10"/>
      <color rgb="FFF3EDE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B332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4313A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AD2C0"/>
      </left>
      <right style="thin">
        <color rgb="FFDAD2C0"/>
      </right>
      <top style="thin">
        <color rgb="FFDAD2C0"/>
      </top>
      <bottom style="thin">
        <color rgb="FFDAD2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2C0"/>
      <rgbColor rgb="FF808080"/>
      <rgbColor rgb="FF9999FF"/>
      <rgbColor rgb="FF993366"/>
      <rgbColor rgb="FFF3ED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154"/>
      <rgbColor rgb="FF969696"/>
      <rgbColor rgb="FF003366"/>
      <rgbColor rgb="FF339966"/>
      <rgbColor rgb="FF003300"/>
      <rgbColor rgb="FF333300"/>
      <rgbColor rgb="FF8B3323"/>
      <rgbColor rgb="FF993366"/>
      <rgbColor rgb="FF333399"/>
      <rgbColor rgb="FF1431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3" min="3" style="0" width="6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Ingresos_Gastos!$B$7/Parametros!$B$5</f>
        <v>0.12118018967334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Ingresos_Gastos!$B$13/Parametros!$B$5</f>
        <v>0.0916140829355978</v>
      </c>
      <c r="C6" s="6" t="s">
        <v>8</v>
      </c>
    </row>
    <row r="7" customFormat="false" ht="23.85" hidden="false" customHeight="false" outlineLevel="0" collapsed="false">
      <c r="A7" s="4" t="s">
        <v>9</v>
      </c>
      <c r="B7" s="5" t="n">
        <f aca="false">Ingresos_Gastos!$B$15/Parametros!$B$5</f>
        <v>0.082452674642038</v>
      </c>
      <c r="C7" s="6" t="s">
        <v>10</v>
      </c>
    </row>
    <row r="8" customFormat="false" ht="15" hidden="false" customHeight="false" outlineLevel="0" collapsed="false">
      <c r="A8" s="4" t="s">
        <v>11</v>
      </c>
      <c r="B8" s="7" t="n">
        <f aca="false">Parametros!$B$5/Ingresos_Gastos!$B$7</f>
        <v>8.25217391304348</v>
      </c>
      <c r="C8" s="6" t="s">
        <v>12</v>
      </c>
    </row>
    <row r="9" customFormat="false" ht="15" hidden="false" customHeight="false" outlineLevel="0" collapsed="false">
      <c r="A9" s="4" t="s">
        <v>13</v>
      </c>
      <c r="B9" s="8" t="n">
        <f aca="false">Ingresos_Gastos!$B$15/12</f>
        <v>2336.15911485774</v>
      </c>
      <c r="C9" s="6"/>
    </row>
    <row r="11" customFormat="false" ht="16.15" hidden="false" customHeight="false" outlineLevel="0" collapsed="false">
      <c r="A11" s="9" t="s">
        <v>14</v>
      </c>
    </row>
    <row r="12" customFormat="false" ht="30" hidden="false" customHeight="true" outlineLevel="0" collapsed="false">
      <c r="A12" s="3" t="s">
        <v>2</v>
      </c>
      <c r="B12" s="3" t="s">
        <v>3</v>
      </c>
      <c r="C12" s="3" t="s">
        <v>15</v>
      </c>
    </row>
    <row r="13" customFormat="false" ht="15" hidden="false" customHeight="false" outlineLevel="0" collapsed="false">
      <c r="A13" s="4" t="s">
        <v>16</v>
      </c>
      <c r="B13" s="8" t="n">
        <f aca="false">Alquileres_Unidad!$H$20*12/Parametros!$B$8</f>
        <v>38459.0163934426</v>
      </c>
      <c r="C13" s="10" t="s">
        <v>17</v>
      </c>
    </row>
    <row r="14" customFormat="false" ht="15" hidden="false" customHeight="false" outlineLevel="0" collapsed="false">
      <c r="A14" s="4" t="s">
        <v>18</v>
      </c>
      <c r="B14" s="5" t="n">
        <f aca="false">B13/Parametros!$B$5</f>
        <v>0.113114754098361</v>
      </c>
    </row>
    <row r="15" customFormat="false" ht="15" hidden="false" customHeight="false" outlineLevel="0" collapsed="false">
      <c r="A15" s="4" t="s">
        <v>19</v>
      </c>
      <c r="B15" s="5" t="n">
        <f aca="false">(B13-2764-1200)/Parametros!$B$5</f>
        <v>0.101455930568949</v>
      </c>
      <c r="C15" s="10" t="s">
        <v>20</v>
      </c>
    </row>
    <row r="17" customFormat="false" ht="15" hidden="false" customHeight="false" outlineLevel="0" collapsed="false">
      <c r="A17" s="2" t="s">
        <v>21</v>
      </c>
    </row>
    <row r="19" customFormat="false" ht="16.15" hidden="false" customHeight="false" outlineLevel="0" collapsed="false">
      <c r="A19" s="9" t="s">
        <v>22</v>
      </c>
    </row>
    <row r="20" customFormat="false" ht="30" hidden="false" customHeight="true" outlineLevel="0" collapsed="false">
      <c r="A20" s="3" t="s">
        <v>23</v>
      </c>
      <c r="B20" s="3" t="s">
        <v>24</v>
      </c>
      <c r="C20" s="3" t="s">
        <v>25</v>
      </c>
    </row>
    <row r="21" customFormat="false" ht="15" hidden="false" customHeight="false" outlineLevel="0" collapsed="false">
      <c r="A21" s="4" t="s">
        <v>26</v>
      </c>
      <c r="B21" s="5" t="n">
        <f aca="false">Alquileres_Unidad!$H$20*12/6100/Parametros!$B$5</f>
        <v>0.113114754098361</v>
      </c>
      <c r="C21" s="5" t="n">
        <f aca="false">((Alquileres_Unidad!$H$20*12/6100)*(1-Ingresos_Gastos!$B$18-Parametros!$B$11-Parametros!$B$12-Parametros!$B$13)-Parametros!$B$14)*(1-Parametros!$B$15)/Parametros!$B$5</f>
        <v>0.0767534233365477</v>
      </c>
    </row>
    <row r="22" customFormat="false" ht="15" hidden="false" customHeight="false" outlineLevel="0" collapsed="false">
      <c r="A22" s="4" t="s">
        <v>27</v>
      </c>
      <c r="B22" s="5" t="n">
        <f aca="false">Alquileres_Unidad!$H$20*12/5873/Parametros!$B$5</f>
        <v>0.117486804018389</v>
      </c>
      <c r="C22" s="5" t="n">
        <f aca="false">((Alquileres_Unidad!$H$20*12/5873)*(1-Ingresos_Gastos!$B$18-Parametros!$B$11-Parametros!$B$12-Parametros!$B$13)-Parametros!$B$14)*(1-Parametros!$B$15)/Parametros!$B$5</f>
        <v>0.0798428300998588</v>
      </c>
    </row>
    <row r="23" customFormat="false" ht="15" hidden="false" customHeight="false" outlineLevel="0" collapsed="false">
      <c r="A23" s="4" t="s">
        <v>28</v>
      </c>
      <c r="B23" s="5" t="n">
        <f aca="false">Alquileres_Unidad!$H$20*12/Parametros!$B$6/Parametros!$B$5</f>
        <v>0.12118018967334</v>
      </c>
      <c r="C23" s="5" t="n">
        <f aca="false">((Alquileres_Unidad!$H$20*12/Parametros!$B$6)*(1-Ingresos_Gastos!$B$18-Parametros!$B$11-Parametros!$B$12-Parametros!$B$13)-Parametros!$B$14)*(1-Parametros!$B$15)/Parametros!$B$5</f>
        <v>0.0824526746420381</v>
      </c>
    </row>
    <row r="24" customFormat="false" ht="15" hidden="false" customHeight="false" outlineLevel="0" collapsed="false">
      <c r="A24" s="4" t="s">
        <v>29</v>
      </c>
      <c r="B24" s="5" t="n">
        <f aca="false">Alquileres_Unidad!$H$20*12/6300/Parametros!$B$5</f>
        <v>0.10952380952381</v>
      </c>
      <c r="C24" s="5" t="n">
        <f aca="false">((Alquileres_Unidad!$H$20*12/6300)*(1-Ingresos_Gastos!$B$18-Parametros!$B$11-Parametros!$B$12-Parametros!$B$13)-Parametros!$B$14)*(1-Parametros!$B$15)/Parametros!$B$5</f>
        <v>0.0742159663865546</v>
      </c>
    </row>
    <row r="25" customFormat="false" ht="15" hidden="false" customHeight="false" outlineLevel="0" collapsed="false">
      <c r="A25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66"/>
  </cols>
  <sheetData>
    <row r="1" customFormat="false" ht="16.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4</v>
      </c>
    </row>
    <row r="5" customFormat="false" ht="15" hidden="false" customHeight="false" outlineLevel="0" collapsed="false">
      <c r="A5" s="10" t="s">
        <v>35</v>
      </c>
      <c r="B5" s="11" t="n">
        <f aca="false">Alquileres_Unidad!$H$20</f>
        <v>19550000</v>
      </c>
      <c r="D5" s="6" t="s">
        <v>36</v>
      </c>
    </row>
    <row r="6" customFormat="false" ht="15" hidden="false" customHeight="false" outlineLevel="0" collapsed="false">
      <c r="A6" s="10" t="s">
        <v>37</v>
      </c>
      <c r="B6" s="12" t="n">
        <f aca="false">B5/Parametros!$B$6</f>
        <v>3433.43870741131</v>
      </c>
      <c r="D6" s="6" t="s">
        <v>38</v>
      </c>
    </row>
    <row r="7" customFormat="false" ht="15" hidden="false" customHeight="false" outlineLevel="0" collapsed="false">
      <c r="A7" s="4" t="s">
        <v>39</v>
      </c>
      <c r="B7" s="13" t="n">
        <f aca="false">B6*12</f>
        <v>41201.2644889357</v>
      </c>
      <c r="C7" s="14" t="n">
        <f aca="false">B7/$B$7</f>
        <v>1</v>
      </c>
      <c r="D7" s="6" t="s">
        <v>40</v>
      </c>
    </row>
    <row r="8" customFormat="false" ht="15" hidden="false" customHeight="false" outlineLevel="0" collapsed="false">
      <c r="A8" s="10" t="s">
        <v>41</v>
      </c>
      <c r="B8" s="12" t="n">
        <f aca="false">-Alquileres_Unidad!$J$20*12/Parametros!$B$6</f>
        <v>-2260.27397260274</v>
      </c>
      <c r="C8" s="14" t="n">
        <f aca="false">-B8/$B$7</f>
        <v>0.0548593350383632</v>
      </c>
      <c r="D8" s="6" t="s">
        <v>42</v>
      </c>
    </row>
    <row r="9" customFormat="false" ht="15" hidden="false" customHeight="false" outlineLevel="0" collapsed="false">
      <c r="A9" s="10" t="s">
        <v>43</v>
      </c>
      <c r="B9" s="12" t="n">
        <f aca="false">-B7*Parametros!$B$11</f>
        <v>-1236.03793466807</v>
      </c>
      <c r="C9" s="14" t="n">
        <f aca="false">-B9/$B$7</f>
        <v>0.03</v>
      </c>
      <c r="D9" s="6" t="s">
        <v>44</v>
      </c>
    </row>
    <row r="10" customFormat="false" ht="15" hidden="false" customHeight="false" outlineLevel="0" collapsed="false">
      <c r="A10" s="10" t="s">
        <v>45</v>
      </c>
      <c r="B10" s="12" t="n">
        <f aca="false">-B7*Parametros!$B$12</f>
        <v>-3296.10115911486</v>
      </c>
      <c r="C10" s="14" t="n">
        <f aca="false">-B10/$B$7</f>
        <v>0.08</v>
      </c>
      <c r="D10" s="6" t="s">
        <v>46</v>
      </c>
    </row>
    <row r="11" customFormat="false" ht="15" hidden="false" customHeight="false" outlineLevel="0" collapsed="false">
      <c r="A11" s="10" t="s">
        <v>47</v>
      </c>
      <c r="B11" s="12" t="n">
        <f aca="false">-B7*Parametros!$B$13</f>
        <v>-2060.06322444679</v>
      </c>
      <c r="C11" s="14" t="n">
        <f aca="false">-B11/$B$7</f>
        <v>0.05</v>
      </c>
      <c r="D11" s="6" t="s">
        <v>48</v>
      </c>
    </row>
    <row r="12" customFormat="false" ht="15" hidden="false" customHeight="false" outlineLevel="0" collapsed="false">
      <c r="A12" s="10" t="s">
        <v>49</v>
      </c>
      <c r="B12" s="12" t="n">
        <f aca="false">-Parametros!$B$14</f>
        <v>-1200</v>
      </c>
      <c r="C12" s="14" t="n">
        <f aca="false">-B12/$B$7</f>
        <v>0.0291253196930946</v>
      </c>
      <c r="D12" s="6" t="s">
        <v>50</v>
      </c>
    </row>
    <row r="13" customFormat="false" ht="15" hidden="false" customHeight="false" outlineLevel="0" collapsed="false">
      <c r="A13" s="4" t="s">
        <v>51</v>
      </c>
      <c r="B13" s="13" t="n">
        <f aca="false">SUM(B7:B12)</f>
        <v>31148.7881981033</v>
      </c>
      <c r="C13" s="14" t="n">
        <f aca="false">B13/$B$7</f>
        <v>0.756015345268542</v>
      </c>
      <c r="D13" s="6" t="s">
        <v>52</v>
      </c>
    </row>
    <row r="14" customFormat="false" ht="15" hidden="false" customHeight="false" outlineLevel="0" collapsed="false">
      <c r="A14" s="10" t="s">
        <v>53</v>
      </c>
      <c r="B14" s="12" t="n">
        <f aca="false">-B13*Parametros!$B$15</f>
        <v>-3114.87881981033</v>
      </c>
      <c r="C14" s="14" t="n">
        <f aca="false">-B14/$B$7</f>
        <v>0.0756015345268542</v>
      </c>
      <c r="D14" s="6" t="s">
        <v>54</v>
      </c>
    </row>
    <row r="15" customFormat="false" ht="15" hidden="false" customHeight="false" outlineLevel="0" collapsed="false">
      <c r="A15" s="4" t="s">
        <v>55</v>
      </c>
      <c r="B15" s="13" t="n">
        <f aca="false">B13+B14</f>
        <v>28033.9093782929</v>
      </c>
      <c r="C15" s="14" t="n">
        <f aca="false">B15/$B$7</f>
        <v>0.680413810741688</v>
      </c>
      <c r="D15" s="6" t="s">
        <v>56</v>
      </c>
    </row>
    <row r="17" customFormat="false" ht="15" hidden="false" customHeight="false" outlineLevel="0" collapsed="false">
      <c r="A17" s="4" t="s">
        <v>57</v>
      </c>
      <c r="B17" s="8" t="n">
        <f aca="false">B15/12</f>
        <v>2336.15911485774</v>
      </c>
    </row>
    <row r="18" customFormat="false" ht="15" hidden="false" customHeight="false" outlineLevel="0" collapsed="false">
      <c r="A18" s="4" t="s">
        <v>58</v>
      </c>
      <c r="B18" s="5" t="n">
        <f aca="false">-B8/B7</f>
        <v>0.0548593350383632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66"/>
  </cols>
  <sheetData>
    <row r="1" customFormat="false" ht="16.1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60</v>
      </c>
      <c r="B5" s="15" t="n">
        <f aca="false">Parametros!$B$28*Parametros!$B$29</f>
        <v>341</v>
      </c>
      <c r="C5" s="6" t="s">
        <v>61</v>
      </c>
    </row>
    <row r="6" customFormat="false" ht="15" hidden="false" customHeight="false" outlineLevel="0" collapsed="false">
      <c r="A6" s="4" t="s">
        <v>62</v>
      </c>
      <c r="B6" s="15" t="n">
        <f aca="false">Parametros!$B$30</f>
        <v>340</v>
      </c>
      <c r="C6" s="6" t="s">
        <v>63</v>
      </c>
    </row>
    <row r="7" customFormat="false" ht="15" hidden="false" customHeight="false" outlineLevel="0" collapsed="false">
      <c r="A7" s="4" t="s">
        <v>64</v>
      </c>
      <c r="B7" s="15" t="n">
        <f aca="false">Parametros!$B$31</f>
        <v>1109</v>
      </c>
      <c r="C7" s="6" t="s">
        <v>65</v>
      </c>
    </row>
    <row r="8" customFormat="false" ht="15" hidden="false" customHeight="false" outlineLevel="0" collapsed="false">
      <c r="A8" s="4" t="s">
        <v>66</v>
      </c>
      <c r="B8" s="7" t="n">
        <f aca="false">B7/B6</f>
        <v>3.26176470588235</v>
      </c>
      <c r="C8" s="6" t="s">
        <v>67</v>
      </c>
    </row>
    <row r="9" customFormat="false" ht="15" hidden="false" customHeight="false" outlineLevel="0" collapsed="false">
      <c r="A9" s="4" t="s">
        <v>68</v>
      </c>
      <c r="B9" s="8" t="n">
        <f aca="false">Parametros!$B$5/B7</f>
        <v>306.582506762849</v>
      </c>
      <c r="C9" s="6" t="s">
        <v>69</v>
      </c>
    </row>
    <row r="10" customFormat="false" ht="15" hidden="false" customHeight="false" outlineLevel="0" collapsed="false">
      <c r="A10" s="4" t="s">
        <v>70</v>
      </c>
      <c r="B10" s="8" t="n">
        <f aca="false">Parametros!$B$5/B6</f>
        <v>1000</v>
      </c>
      <c r="C10" s="6" t="s">
        <v>71</v>
      </c>
    </row>
    <row r="11" customFormat="false" ht="15" hidden="false" customHeight="false" outlineLevel="0" collapsed="false">
      <c r="A11" s="4" t="s">
        <v>72</v>
      </c>
      <c r="B11" s="16" t="n">
        <f aca="false">B7*Parametros!$B$32</f>
        <v>720850</v>
      </c>
      <c r="C11" s="6" t="s">
        <v>73</v>
      </c>
    </row>
    <row r="12" customFormat="false" ht="23.85" hidden="false" customHeight="false" outlineLevel="0" collapsed="false">
      <c r="A12" s="4" t="s">
        <v>74</v>
      </c>
      <c r="B12" s="17" t="n">
        <f aca="false">Parametros!$B$5/B11</f>
        <v>0.471665395019768</v>
      </c>
      <c r="C12" s="6" t="s">
        <v>75</v>
      </c>
    </row>
    <row r="13" customFormat="false" ht="15" hidden="false" customHeight="false" outlineLevel="0" collapsed="false">
      <c r="A13" s="4" t="s">
        <v>76</v>
      </c>
      <c r="B13" s="18" t="n">
        <v>14</v>
      </c>
      <c r="C13" s="6" t="s">
        <v>77</v>
      </c>
    </row>
    <row r="14" customFormat="false" ht="15" hidden="false" customHeight="false" outlineLevel="0" collapsed="false">
      <c r="A14" s="4" t="s">
        <v>78</v>
      </c>
      <c r="B14" s="16" t="n">
        <f aca="false">Parametros!$B$5/B13</f>
        <v>24285.7142857143</v>
      </c>
      <c r="C14" s="6" t="s">
        <v>79</v>
      </c>
    </row>
    <row r="15" customFormat="false" ht="15" hidden="false" customHeight="false" outlineLevel="0" collapsed="false">
      <c r="A15" s="4" t="s">
        <v>80</v>
      </c>
      <c r="B15" s="16" t="n">
        <f aca="false">Parametros!$B$33/Parametros!$B$34</f>
        <v>72222.2222222222</v>
      </c>
      <c r="C15" s="6" t="s">
        <v>81</v>
      </c>
    </row>
    <row r="16" customFormat="false" ht="15" hidden="false" customHeight="false" outlineLevel="0" collapsed="false">
      <c r="A16" s="4" t="s">
        <v>82</v>
      </c>
      <c r="B16" s="8" t="n">
        <f aca="false">Ingresos_Gastos!$B$7/B7</f>
        <v>37.1517263200502</v>
      </c>
      <c r="C16" s="6" t="s">
        <v>83</v>
      </c>
    </row>
    <row r="18" customFormat="false" ht="15" hidden="false" customHeight="false" outlineLevel="0" collapsed="false">
      <c r="A18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7" min="2" style="0" width="16"/>
  </cols>
  <sheetData>
    <row r="1" customFormat="false" ht="16.1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91</v>
      </c>
      <c r="G4" s="3" t="s">
        <v>92</v>
      </c>
    </row>
    <row r="5" customFormat="false" ht="15" hidden="false" customHeight="false" outlineLevel="0" collapsed="false">
      <c r="A5" s="19" t="n">
        <v>1</v>
      </c>
      <c r="B5" s="16" t="n">
        <f aca="false">Ingresos_Gastos!$B$7*(1+Parametros!$B$17)^(A5-1)</f>
        <v>41201.2644889357</v>
      </c>
      <c r="C5" s="16" t="n">
        <f aca="false">(B5*(1-Ingresos_Gastos!$B$18-Parametros!$B$11-Parametros!$B$12-Parametros!$B$13)-Parametros!$B$14)*(1-Parametros!$B$15)</f>
        <v>28033.9093782929</v>
      </c>
      <c r="D5" s="16" t="n">
        <f aca="false">Ingresos_Gastos!$B$7*(1+Parametros!$B$18)^(A5-1)</f>
        <v>41201.2644889357</v>
      </c>
      <c r="E5" s="16" t="n">
        <f aca="false">(D5*(1-Ingresos_Gastos!$B$18-Parametros!$B$11-Parametros!$B$12-Parametros!$B$13)-Parametros!$B$14)*(1-Parametros!$B$15)</f>
        <v>28033.9093782929</v>
      </c>
      <c r="F5" s="16" t="n">
        <f aca="false">Ingresos_Gastos!$B$7*(1+Parametros!$B$19)^(A5-1)</f>
        <v>41201.2644889357</v>
      </c>
      <c r="G5" s="16" t="n">
        <f aca="false">(F5*(1-Ingresos_Gastos!$B$18-Parametros!$B$11-Parametros!$B$12-Parametros!$B$13)-Parametros!$B$14)*(1-Parametros!$B$15)</f>
        <v>28033.9093782929</v>
      </c>
    </row>
    <row r="6" customFormat="false" ht="15" hidden="false" customHeight="false" outlineLevel="0" collapsed="false">
      <c r="A6" s="19" t="n">
        <v>2</v>
      </c>
      <c r="B6" s="16" t="n">
        <f aca="false">Ingresos_Gastos!$B$7*(1+Parametros!$B$17)^(A6-1)</f>
        <v>42437.3024236038</v>
      </c>
      <c r="C6" s="16" t="n">
        <f aca="false">(B6*(1-Ingresos_Gastos!$B$18-Parametros!$B$11-Parametros!$B$12-Parametros!$B$13)-Parametros!$B$14)*(1-Parametros!$B$15)</f>
        <v>28907.3266596417</v>
      </c>
      <c r="D6" s="16" t="n">
        <f aca="false">Ingresos_Gastos!$B$7*(1+Parametros!$B$18)^(A6-1)</f>
        <v>43261.3277133825</v>
      </c>
      <c r="E6" s="16" t="n">
        <f aca="false">(D6*(1-Ingresos_Gastos!$B$18-Parametros!$B$11-Parametros!$B$12-Parametros!$B$13)-Parametros!$B$14)*(1-Parametros!$B$15)</f>
        <v>29489.6048472076</v>
      </c>
      <c r="F6" s="16" t="n">
        <f aca="false">Ingresos_Gastos!$B$7*(1+Parametros!$B$19)^(A6-1)</f>
        <v>44497.3656480506</v>
      </c>
      <c r="G6" s="16" t="n">
        <f aca="false">(F6*(1-Ingresos_Gastos!$B$18-Parametros!$B$11-Parametros!$B$12-Parametros!$B$13)-Parametros!$B$14)*(1-Parametros!$B$15)</f>
        <v>30363.0221285564</v>
      </c>
    </row>
    <row r="7" customFormat="false" ht="15" hidden="false" customHeight="false" outlineLevel="0" collapsed="false">
      <c r="A7" s="19" t="n">
        <v>3</v>
      </c>
      <c r="B7" s="16" t="n">
        <f aca="false">Ingresos_Gastos!$B$7*(1+Parametros!$B$17)^(A7-1)</f>
        <v>43710.4214963119</v>
      </c>
      <c r="C7" s="16" t="n">
        <f aca="false">(B7*(1-Ingresos_Gastos!$B$18-Parametros!$B$11-Parametros!$B$12-Parametros!$B$13)-Parametros!$B$14)*(1-Parametros!$B$15)</f>
        <v>29806.946459431</v>
      </c>
      <c r="D7" s="16" t="n">
        <f aca="false">Ingresos_Gastos!$B$7*(1+Parametros!$B$18)^(A7-1)</f>
        <v>45424.3940990516</v>
      </c>
      <c r="E7" s="16" t="n">
        <f aca="false">(D7*(1-Ingresos_Gastos!$B$18-Parametros!$B$11-Parametros!$B$12-Parametros!$B$13)-Parametros!$B$14)*(1-Parametros!$B$15)</f>
        <v>31018.085089568</v>
      </c>
      <c r="F7" s="16" t="n">
        <f aca="false">Ingresos_Gastos!$B$7*(1+Parametros!$B$19)^(A7-1)</f>
        <v>48057.1548998946</v>
      </c>
      <c r="G7" s="16" t="n">
        <f aca="false">(F7*(1-Ingresos_Gastos!$B$18-Parametros!$B$11-Parametros!$B$12-Parametros!$B$13)-Parametros!$B$14)*(1-Parametros!$B$15)</f>
        <v>32878.4638988409</v>
      </c>
    </row>
    <row r="8" customFormat="false" ht="15" hidden="false" customHeight="false" outlineLevel="0" collapsed="false">
      <c r="A8" s="19" t="n">
        <v>4</v>
      </c>
      <c r="B8" s="16" t="n">
        <f aca="false">Ingresos_Gastos!$B$7*(1+Parametros!$B$17)^(A8-1)</f>
        <v>45021.7341412013</v>
      </c>
      <c r="C8" s="16" t="n">
        <f aca="false">(B8*(1-Ingresos_Gastos!$B$18-Parametros!$B$11-Parametros!$B$12-Parametros!$B$13)-Parametros!$B$14)*(1-Parametros!$B$15)</f>
        <v>30733.5548532139</v>
      </c>
      <c r="D8" s="16" t="n">
        <f aca="false">Ingresos_Gastos!$B$7*(1+Parametros!$B$18)^(A8-1)</f>
        <v>47695.6138040042</v>
      </c>
      <c r="E8" s="16" t="n">
        <f aca="false">(D8*(1-Ingresos_Gastos!$B$18-Parametros!$B$11-Parametros!$B$12-Parametros!$B$13)-Parametros!$B$14)*(1-Parametros!$B$15)</f>
        <v>32622.9893440464</v>
      </c>
      <c r="F8" s="16" t="n">
        <f aca="false">Ingresos_Gastos!$B$7*(1+Parametros!$B$19)^(A8-1)</f>
        <v>51901.7272918862</v>
      </c>
      <c r="G8" s="16" t="n">
        <f aca="false">(F8*(1-Ingresos_Gastos!$B$18-Parametros!$B$11-Parametros!$B$12-Parametros!$B$13)-Parametros!$B$14)*(1-Parametros!$B$15)</f>
        <v>35595.1410107482</v>
      </c>
    </row>
    <row r="9" customFormat="false" ht="15" hidden="false" customHeight="false" outlineLevel="0" collapsed="false">
      <c r="A9" s="19" t="n">
        <v>5</v>
      </c>
      <c r="B9" s="16" t="n">
        <f aca="false">Ingresos_Gastos!$B$7*(1+Parametros!$B$17)^(A9-1)</f>
        <v>46372.3861654373</v>
      </c>
      <c r="C9" s="16" t="n">
        <f aca="false">(B9*(1-Ingresos_Gastos!$B$18-Parametros!$B$11-Parametros!$B$12-Parametros!$B$13)-Parametros!$B$14)*(1-Parametros!$B$15)</f>
        <v>31687.9614988103</v>
      </c>
      <c r="D9" s="16" t="n">
        <f aca="false">Ingresos_Gastos!$B$7*(1+Parametros!$B$18)^(A9-1)</f>
        <v>50080.3944942044</v>
      </c>
      <c r="E9" s="16" t="n">
        <f aca="false">(D9*(1-Ingresos_Gastos!$B$18-Parametros!$B$11-Parametros!$B$12-Parametros!$B$13)-Parametros!$B$14)*(1-Parametros!$B$15)</f>
        <v>34308.1388112487</v>
      </c>
      <c r="F9" s="16" t="n">
        <f aca="false">Ingresos_Gastos!$B$7*(1+Parametros!$B$19)^(A9-1)</f>
        <v>56053.8654752371</v>
      </c>
      <c r="G9" s="16" t="n">
        <f aca="false">(F9*(1-Ingresos_Gastos!$B$18-Parametros!$B$11-Parametros!$B$12-Parametros!$B$13)-Parametros!$B$14)*(1-Parametros!$B$15)</f>
        <v>38529.152291608</v>
      </c>
    </row>
    <row r="10" customFormat="false" ht="15" hidden="false" customHeight="false" outlineLevel="0" collapsed="false">
      <c r="A10" s="4" t="s">
        <v>93</v>
      </c>
      <c r="B10" s="20" t="n">
        <f aca="false">SUM(B5:B9)</f>
        <v>218743.10871549</v>
      </c>
      <c r="C10" s="20" t="n">
        <f aca="false">SUM(C5:C9)</f>
        <v>149169.69884939</v>
      </c>
      <c r="D10" s="20" t="n">
        <f aca="false">SUM(D5:D9)</f>
        <v>227662.994599579</v>
      </c>
      <c r="E10" s="20" t="n">
        <f aca="false">SUM(E5:E9)</f>
        <v>155472.727470364</v>
      </c>
      <c r="F10" s="20" t="n">
        <f aca="false">SUM(F5:F9)</f>
        <v>241711.377804004</v>
      </c>
      <c r="G10" s="20" t="n">
        <f aca="false">SUM(G5:G9)</f>
        <v>165399.688708046</v>
      </c>
    </row>
    <row r="11" customFormat="false" ht="15" hidden="false" customHeight="false" outlineLevel="0" collapsed="false">
      <c r="A11" s="4" t="s">
        <v>94</v>
      </c>
      <c r="B11" s="21" t="n">
        <f aca="false">Parametros!$B$17</f>
        <v>0.03</v>
      </c>
      <c r="D11" s="21" t="n">
        <f aca="false">Parametros!$B$18</f>
        <v>0.05</v>
      </c>
      <c r="F11" s="21" t="n">
        <f aca="false">Parametros!$B$19</f>
        <v>0.08</v>
      </c>
    </row>
    <row r="12" customFormat="false" ht="15" hidden="false" customHeight="false" outlineLevel="0" collapsed="false">
      <c r="A12" s="2" t="s">
        <v>95</v>
      </c>
    </row>
    <row r="14" customFormat="false" ht="16.15" hidden="false" customHeight="false" outlineLevel="0" collapsed="false">
      <c r="A14" s="9" t="s">
        <v>96</v>
      </c>
    </row>
    <row r="15" customFormat="false" ht="30" hidden="false" customHeight="true" outlineLevel="0" collapsed="false">
      <c r="A15" s="3" t="s">
        <v>97</v>
      </c>
      <c r="B15" s="3" t="s">
        <v>98</v>
      </c>
      <c r="C15" s="3" t="s">
        <v>99</v>
      </c>
      <c r="D15" s="3" t="s">
        <v>100</v>
      </c>
      <c r="E15" s="3" t="s">
        <v>101</v>
      </c>
      <c r="F15" s="3" t="s">
        <v>102</v>
      </c>
      <c r="G15" s="3"/>
    </row>
    <row r="16" customFormat="false" ht="15" hidden="false" customHeight="false" outlineLevel="0" collapsed="false">
      <c r="A16" s="4" t="s">
        <v>103</v>
      </c>
      <c r="B16" s="22" t="n">
        <f aca="false">AVERAGEIFS(Alquileres_Unidad!$H$5:$H$19,Alquileres_Unidad!$E$5:$E$19,"1 dormitorio")</f>
        <v>1158333.33333333</v>
      </c>
      <c r="C16" s="11" t="n">
        <f aca="false">Parametros!$B$23</f>
        <v>3000000</v>
      </c>
      <c r="D16" s="11" t="n">
        <f aca="false">Parametros!$B$24</f>
        <v>3200000</v>
      </c>
      <c r="E16" s="17" t="n">
        <f aca="false">C16/B16-1</f>
        <v>1.58992805755396</v>
      </c>
      <c r="F16" s="23" t="n">
        <f aca="false">COUNTIFS(Alquileres_Unidad!$E$5:$E$19,"1 dormitorio")</f>
        <v>6</v>
      </c>
    </row>
    <row r="17" customFormat="false" ht="15" hidden="false" customHeight="false" outlineLevel="0" collapsed="false">
      <c r="A17" s="4" t="s">
        <v>104</v>
      </c>
      <c r="B17" s="22" t="n">
        <f aca="false">AVERAGEIFS(Alquileres_Unidad!$H$5:$H$19,Alquileres_Unidad!$E$5:$E$19,"2 dormitorios")</f>
        <v>1516666.66666667</v>
      </c>
      <c r="C17" s="11" t="n">
        <f aca="false">Parametros!$B$25</f>
        <v>2100000</v>
      </c>
      <c r="D17" s="11" t="n">
        <f aca="false">Parametros!$B$26</f>
        <v>6300000</v>
      </c>
      <c r="E17" s="17" t="n">
        <f aca="false">C17/B17-1</f>
        <v>0.384615384615385</v>
      </c>
      <c r="F17" s="23" t="n">
        <f aca="false">COUNTIFS(Alquileres_Unidad!$E$5:$E$19,"2 dormitorios")</f>
        <v>6</v>
      </c>
    </row>
    <row r="18" customFormat="false" ht="15" hidden="false" customHeight="false" outlineLevel="0" collapsed="false">
      <c r="A18" s="4" t="s">
        <v>105</v>
      </c>
      <c r="C18" s="11" t="n">
        <f aca="false">Parametros!$B$27</f>
        <v>2700000</v>
      </c>
    </row>
    <row r="19" customFormat="false" ht="15" hidden="false" customHeight="false" outlineLevel="0" collapsed="false">
      <c r="A19" s="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</cols>
  <sheetData>
    <row r="1" customFormat="false" ht="16.1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32</v>
      </c>
      <c r="B4" s="3" t="s">
        <v>108</v>
      </c>
      <c r="C4" s="3" t="s">
        <v>109</v>
      </c>
      <c r="D4" s="3" t="s">
        <v>110</v>
      </c>
    </row>
    <row r="5" customFormat="false" ht="15" hidden="false" customHeight="false" outlineLevel="0" collapsed="false">
      <c r="A5" s="4" t="s">
        <v>111</v>
      </c>
      <c r="B5" s="21" t="n">
        <f aca="false">Parametros!$B$20</f>
        <v>0.02</v>
      </c>
      <c r="C5" s="21" t="n">
        <f aca="false">Parametros!$B$21</f>
        <v>0.035</v>
      </c>
      <c r="D5" s="21" t="n">
        <f aca="false">Parametros!$B$22</f>
        <v>0.05</v>
      </c>
    </row>
    <row r="6" customFormat="false" ht="15" hidden="false" customHeight="false" outlineLevel="0" collapsed="false">
      <c r="A6" s="4" t="s">
        <v>112</v>
      </c>
      <c r="B6" s="16" t="n">
        <f aca="false">Parametros!$B$5*(1+B5)^5</f>
        <v>375387.473088</v>
      </c>
      <c r="C6" s="16" t="n">
        <f aca="false">Parametros!$B$5*(1+C5)^5</f>
        <v>403813.343919937</v>
      </c>
      <c r="D6" s="16" t="n">
        <f aca="false">Parametros!$B$5*(1+D5)^5</f>
        <v>433935.73125</v>
      </c>
    </row>
    <row r="7" customFormat="false" ht="15" hidden="false" customHeight="false" outlineLevel="0" collapsed="false">
      <c r="A7" s="4" t="s">
        <v>113</v>
      </c>
      <c r="B7" s="16" t="n">
        <f aca="false">B6-Parametros!$B$5</f>
        <v>35387.473088</v>
      </c>
      <c r="C7" s="16" t="n">
        <f aca="false">C6-Parametros!$B$5</f>
        <v>63813.3439199373</v>
      </c>
      <c r="D7" s="16" t="n">
        <f aca="false">D6-Parametros!$B$5</f>
        <v>93935.7312500001</v>
      </c>
    </row>
    <row r="8" customFormat="false" ht="15" hidden="false" customHeight="false" outlineLevel="0" collapsed="false">
      <c r="A8" s="4" t="s">
        <v>114</v>
      </c>
      <c r="B8" s="16" t="n">
        <f aca="false">-B6*Parametros!$B$16</f>
        <v>-5630.81209632</v>
      </c>
      <c r="C8" s="16" t="n">
        <f aca="false">-C6*Parametros!$B$16</f>
        <v>-6057.20015879906</v>
      </c>
      <c r="D8" s="16" t="n">
        <f aca="false">-D6*Parametros!$B$16</f>
        <v>-6509.03596875</v>
      </c>
    </row>
    <row r="9" customFormat="false" ht="15" hidden="false" customHeight="false" outlineLevel="0" collapsed="false">
      <c r="A9" s="4" t="s">
        <v>115</v>
      </c>
      <c r="B9" s="24" t="n">
        <f aca="false">Proyeccion!C10</f>
        <v>149169.69884939</v>
      </c>
      <c r="C9" s="24" t="n">
        <f aca="false">Proyeccion!E10</f>
        <v>155472.727470364</v>
      </c>
      <c r="D9" s="24" t="n">
        <f aca="false">Proyeccion!G10</f>
        <v>165399.688708046</v>
      </c>
    </row>
    <row r="10" customFormat="false" ht="15" hidden="false" customHeight="false" outlineLevel="0" collapsed="false">
      <c r="A10" s="4" t="s">
        <v>116</v>
      </c>
      <c r="B10" s="20" t="n">
        <f aca="false">B7+B8+B9</f>
        <v>178926.35984107</v>
      </c>
      <c r="C10" s="20" t="n">
        <f aca="false">C7+C8+C9</f>
        <v>213228.871231502</v>
      </c>
      <c r="D10" s="20" t="n">
        <f aca="false">D7+D8+D9</f>
        <v>252826.383989297</v>
      </c>
    </row>
    <row r="11" customFormat="false" ht="15" hidden="false" customHeight="false" outlineLevel="0" collapsed="false">
      <c r="A11" s="4" t="s">
        <v>117</v>
      </c>
      <c r="B11" s="14" t="n">
        <f aca="false">B10/Parametros!$B$5</f>
        <v>0.526253999532559</v>
      </c>
      <c r="C11" s="14" t="n">
        <f aca="false">C10/Parametros!$B$5</f>
        <v>0.627143738916182</v>
      </c>
      <c r="D11" s="14" t="n">
        <f aca="false">D10/Parametros!$B$5</f>
        <v>0.743607011733225</v>
      </c>
    </row>
    <row r="13" customFormat="false" ht="15" hidden="false" customHeight="false" outlineLevel="0" collapsed="false">
      <c r="A13" s="4" t="s">
        <v>118</v>
      </c>
    </row>
    <row r="14" customFormat="false" ht="15" hidden="false" customHeight="false" outlineLevel="0" collapsed="false">
      <c r="A14" s="4" t="s">
        <v>119</v>
      </c>
      <c r="B14" s="16" t="n">
        <f aca="false">-Parametros!$B$5</f>
        <v>-340000</v>
      </c>
      <c r="C14" s="16" t="n">
        <f aca="false">-Parametros!$B$5</f>
        <v>-340000</v>
      </c>
      <c r="D14" s="16" t="n">
        <f aca="false">-Parametros!$B$5</f>
        <v>-340000</v>
      </c>
    </row>
    <row r="15" customFormat="false" ht="15" hidden="false" customHeight="false" outlineLevel="0" collapsed="false">
      <c r="A15" s="4" t="s">
        <v>120</v>
      </c>
      <c r="B15" s="16" t="n">
        <f aca="false">Proyeccion!C5</f>
        <v>28033.9093782929</v>
      </c>
      <c r="C15" s="16" t="n">
        <f aca="false">Proyeccion!E5</f>
        <v>28033.9093782929</v>
      </c>
      <c r="D15" s="16" t="n">
        <f aca="false">Proyeccion!G5</f>
        <v>28033.9093782929</v>
      </c>
    </row>
    <row r="16" customFormat="false" ht="15" hidden="false" customHeight="false" outlineLevel="0" collapsed="false">
      <c r="A16" s="4" t="s">
        <v>121</v>
      </c>
      <c r="B16" s="16" t="n">
        <f aca="false">Proyeccion!C6</f>
        <v>28907.3266596417</v>
      </c>
      <c r="C16" s="16" t="n">
        <f aca="false">Proyeccion!E6</f>
        <v>29489.6048472076</v>
      </c>
      <c r="D16" s="16" t="n">
        <f aca="false">Proyeccion!G6</f>
        <v>30363.0221285564</v>
      </c>
    </row>
    <row r="17" customFormat="false" ht="15" hidden="false" customHeight="false" outlineLevel="0" collapsed="false">
      <c r="A17" s="4" t="s">
        <v>122</v>
      </c>
      <c r="B17" s="16" t="n">
        <f aca="false">Proyeccion!C7</f>
        <v>29806.946459431</v>
      </c>
      <c r="C17" s="16" t="n">
        <f aca="false">Proyeccion!E7</f>
        <v>31018.085089568</v>
      </c>
      <c r="D17" s="16" t="n">
        <f aca="false">Proyeccion!G7</f>
        <v>32878.4638988409</v>
      </c>
    </row>
    <row r="18" customFormat="false" ht="15" hidden="false" customHeight="false" outlineLevel="0" collapsed="false">
      <c r="A18" s="4" t="s">
        <v>123</v>
      </c>
      <c r="B18" s="16" t="n">
        <f aca="false">Proyeccion!C8</f>
        <v>30733.5548532139</v>
      </c>
      <c r="C18" s="16" t="n">
        <f aca="false">Proyeccion!E8</f>
        <v>32622.9893440464</v>
      </c>
      <c r="D18" s="16" t="n">
        <f aca="false">Proyeccion!G8</f>
        <v>35595.1410107482</v>
      </c>
    </row>
    <row r="19" customFormat="false" ht="15" hidden="false" customHeight="false" outlineLevel="0" collapsed="false">
      <c r="A19" s="4" t="s">
        <v>124</v>
      </c>
      <c r="B19" s="16" t="n">
        <f aca="false">Proyeccion!C9+B6+B8</f>
        <v>401444.62249049</v>
      </c>
      <c r="C19" s="16" t="n">
        <f aca="false">Proyeccion!E9+C6+C8</f>
        <v>432064.282572387</v>
      </c>
      <c r="D19" s="16" t="n">
        <f aca="false">Proyeccion!G9+D6+D8</f>
        <v>465955.847572858</v>
      </c>
    </row>
    <row r="20" customFormat="false" ht="15" hidden="false" customHeight="false" outlineLevel="0" collapsed="false">
      <c r="A20" s="4" t="s">
        <v>125</v>
      </c>
      <c r="B20" s="25" t="n">
        <f aca="false">IRR(B14:B19)</f>
        <v>0.101522066028479</v>
      </c>
      <c r="C20" s="25" t="n">
        <f aca="false">IRR(C14:C19)</f>
        <v>0.117320668447714</v>
      </c>
      <c r="D20" s="25" t="n">
        <f aca="false">IRR(D14:D19)</f>
        <v>0.134678276622818</v>
      </c>
    </row>
    <row r="22" customFormat="false" ht="15" hidden="false" customHeight="false" outlineLevel="0" collapsed="false">
      <c r="A22" s="2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10" min="9" style="0" width="14"/>
    <col collapsed="false" customWidth="true" hidden="false" outlineLevel="0" max="11" min="11" style="0" width="30"/>
    <col collapsed="false" customWidth="true" hidden="false" outlineLevel="0" max="12" min="12" style="0" width="46"/>
  </cols>
  <sheetData>
    <row r="1" customFormat="false" ht="16.1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128</v>
      </c>
      <c r="B4" s="3" t="s">
        <v>129</v>
      </c>
      <c r="C4" s="3" t="s">
        <v>130</v>
      </c>
      <c r="D4" s="3" t="s">
        <v>131</v>
      </c>
      <c r="E4" s="3" t="s">
        <v>97</v>
      </c>
      <c r="F4" s="3" t="s">
        <v>32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15</v>
      </c>
    </row>
    <row r="5" customFormat="false" ht="15" hidden="false" customHeight="false" outlineLevel="0" collapsed="false">
      <c r="A5" s="10" t="n">
        <v>1</v>
      </c>
      <c r="B5" s="10" t="s">
        <v>137</v>
      </c>
      <c r="C5" s="10" t="s">
        <v>138</v>
      </c>
      <c r="D5" s="26" t="s">
        <v>139</v>
      </c>
      <c r="E5" s="10" t="s">
        <v>104</v>
      </c>
      <c r="F5" s="10" t="s">
        <v>140</v>
      </c>
      <c r="G5" s="27" t="n">
        <f aca="false">IF(F5="Departamento",Parametros!$B$9,Parametros!$B$10)</f>
        <v>0.05</v>
      </c>
      <c r="H5" s="28" t="n">
        <v>1500000</v>
      </c>
      <c r="I5" s="12" t="n">
        <f aca="false">H5/Parametros!$B$6</f>
        <v>263.435194942044</v>
      </c>
      <c r="J5" s="22" t="n">
        <f aca="false">H5*G5</f>
        <v>75000</v>
      </c>
      <c r="K5" s="10" t="s">
        <v>141</v>
      </c>
      <c r="L5" s="6"/>
    </row>
    <row r="6" customFormat="false" ht="15" hidden="false" customHeight="false" outlineLevel="0" collapsed="false">
      <c r="A6" s="10" t="n">
        <v>2</v>
      </c>
      <c r="B6" s="10" t="s">
        <v>142</v>
      </c>
      <c r="C6" s="10" t="s">
        <v>138</v>
      </c>
      <c r="D6" s="26" t="s">
        <v>139</v>
      </c>
      <c r="E6" s="10" t="s">
        <v>104</v>
      </c>
      <c r="F6" s="10" t="s">
        <v>140</v>
      </c>
      <c r="G6" s="27" t="n">
        <f aca="false">IF(F6="Departamento",Parametros!$B$9,Parametros!$B$10)</f>
        <v>0.05</v>
      </c>
      <c r="H6" s="28" t="n">
        <v>1500000</v>
      </c>
      <c r="I6" s="12" t="n">
        <f aca="false">H6/Parametros!$B$6</f>
        <v>263.435194942044</v>
      </c>
      <c r="J6" s="22" t="n">
        <f aca="false">H6*G6</f>
        <v>75000</v>
      </c>
      <c r="K6" s="10" t="s">
        <v>141</v>
      </c>
      <c r="L6" s="6"/>
    </row>
    <row r="7" customFormat="false" ht="15" hidden="false" customHeight="false" outlineLevel="0" collapsed="false">
      <c r="A7" s="10" t="n">
        <v>3</v>
      </c>
      <c r="B7" s="10" t="s">
        <v>143</v>
      </c>
      <c r="C7" s="10" t="s">
        <v>138</v>
      </c>
      <c r="D7" s="26" t="s">
        <v>144</v>
      </c>
      <c r="E7" s="10" t="s">
        <v>103</v>
      </c>
      <c r="F7" s="10" t="s">
        <v>140</v>
      </c>
      <c r="G7" s="27" t="n">
        <f aca="false">IF(F7="Departamento",Parametros!$B$9,Parametros!$B$10)</f>
        <v>0.05</v>
      </c>
      <c r="H7" s="28" t="n">
        <v>1200000</v>
      </c>
      <c r="I7" s="12" t="n">
        <f aca="false">H7/Parametros!$B$6</f>
        <v>210.748155953635</v>
      </c>
      <c r="J7" s="22" t="n">
        <f aca="false">H7*G7</f>
        <v>60000</v>
      </c>
      <c r="K7" s="10" t="s">
        <v>141</v>
      </c>
      <c r="L7" s="6"/>
    </row>
    <row r="8" customFormat="false" ht="15" hidden="false" customHeight="false" outlineLevel="0" collapsed="false">
      <c r="A8" s="10" t="n">
        <v>4</v>
      </c>
      <c r="B8" s="10" t="s">
        <v>145</v>
      </c>
      <c r="C8" s="10" t="s">
        <v>138</v>
      </c>
      <c r="D8" s="26" t="s">
        <v>144</v>
      </c>
      <c r="E8" s="10" t="s">
        <v>103</v>
      </c>
      <c r="F8" s="10" t="s">
        <v>140</v>
      </c>
      <c r="G8" s="27" t="n">
        <f aca="false">IF(F8="Departamento",Parametros!$B$9,Parametros!$B$10)</f>
        <v>0.05</v>
      </c>
      <c r="H8" s="28" t="n">
        <v>1100000</v>
      </c>
      <c r="I8" s="12" t="n">
        <f aca="false">H8/Parametros!$B$6</f>
        <v>193.185809624166</v>
      </c>
      <c r="J8" s="22" t="n">
        <f aca="false">H8*G8</f>
        <v>55000</v>
      </c>
      <c r="K8" s="10" t="s">
        <v>141</v>
      </c>
      <c r="L8" s="6"/>
    </row>
    <row r="9" customFormat="false" ht="15" hidden="false" customHeight="false" outlineLevel="0" collapsed="false">
      <c r="A9" s="10" t="n">
        <v>5</v>
      </c>
      <c r="B9" s="10" t="s">
        <v>146</v>
      </c>
      <c r="C9" s="10" t="s">
        <v>147</v>
      </c>
      <c r="D9" s="26" t="s">
        <v>139</v>
      </c>
      <c r="E9" s="10" t="s">
        <v>104</v>
      </c>
      <c r="F9" s="10" t="s">
        <v>140</v>
      </c>
      <c r="G9" s="27" t="n">
        <f aca="false">IF(F9="Departamento",Parametros!$B$9,Parametros!$B$10)</f>
        <v>0.05</v>
      </c>
      <c r="H9" s="28" t="n">
        <v>1600000</v>
      </c>
      <c r="I9" s="12" t="n">
        <f aca="false">H9/Parametros!$B$6</f>
        <v>280.997541271514</v>
      </c>
      <c r="J9" s="22" t="n">
        <f aca="false">H9*G9</f>
        <v>80000</v>
      </c>
      <c r="K9" s="10" t="s">
        <v>141</v>
      </c>
      <c r="L9" s="6"/>
    </row>
    <row r="10" customFormat="false" ht="15" hidden="false" customHeight="false" outlineLevel="0" collapsed="false">
      <c r="A10" s="10" t="n">
        <v>6</v>
      </c>
      <c r="B10" s="10" t="s">
        <v>148</v>
      </c>
      <c r="C10" s="10" t="s">
        <v>147</v>
      </c>
      <c r="D10" s="26" t="s">
        <v>139</v>
      </c>
      <c r="E10" s="10" t="s">
        <v>104</v>
      </c>
      <c r="F10" s="10" t="s">
        <v>140</v>
      </c>
      <c r="G10" s="27" t="n">
        <f aca="false">IF(F10="Departamento",Parametros!$B$9,Parametros!$B$10)</f>
        <v>0.05</v>
      </c>
      <c r="H10" s="28" t="n">
        <v>1500000</v>
      </c>
      <c r="I10" s="12" t="n">
        <f aca="false">H10/Parametros!$B$6</f>
        <v>263.435194942044</v>
      </c>
      <c r="J10" s="22" t="n">
        <f aca="false">H10*G10</f>
        <v>75000</v>
      </c>
      <c r="K10" s="10" t="s">
        <v>141</v>
      </c>
      <c r="L10" s="6"/>
    </row>
    <row r="11" customFormat="false" ht="15" hidden="false" customHeight="false" outlineLevel="0" collapsed="false">
      <c r="A11" s="10" t="n">
        <v>7</v>
      </c>
      <c r="B11" s="10" t="s">
        <v>149</v>
      </c>
      <c r="C11" s="10" t="s">
        <v>147</v>
      </c>
      <c r="D11" s="26" t="s">
        <v>139</v>
      </c>
      <c r="E11" s="10" t="s">
        <v>104</v>
      </c>
      <c r="F11" s="10" t="s">
        <v>140</v>
      </c>
      <c r="G11" s="27" t="n">
        <f aca="false">IF(F11="Departamento",Parametros!$B$9,Parametros!$B$10)</f>
        <v>0.05</v>
      </c>
      <c r="H11" s="28" t="n">
        <v>1500000</v>
      </c>
      <c r="I11" s="12" t="n">
        <f aca="false">H11/Parametros!$B$6</f>
        <v>263.435194942044</v>
      </c>
      <c r="J11" s="22" t="n">
        <f aca="false">H11*G11</f>
        <v>75000</v>
      </c>
      <c r="K11" s="10" t="s">
        <v>141</v>
      </c>
      <c r="L11" s="6"/>
    </row>
    <row r="12" customFormat="false" ht="15" hidden="false" customHeight="false" outlineLevel="0" collapsed="false">
      <c r="A12" s="10" t="n">
        <v>8</v>
      </c>
      <c r="B12" s="10" t="s">
        <v>150</v>
      </c>
      <c r="C12" s="10" t="s">
        <v>147</v>
      </c>
      <c r="D12" s="26" t="s">
        <v>139</v>
      </c>
      <c r="E12" s="10" t="s">
        <v>104</v>
      </c>
      <c r="F12" s="10" t="s">
        <v>140</v>
      </c>
      <c r="G12" s="27" t="n">
        <f aca="false">IF(F12="Departamento",Parametros!$B$9,Parametros!$B$10)</f>
        <v>0.05</v>
      </c>
      <c r="H12" s="28" t="n">
        <v>1500000</v>
      </c>
      <c r="I12" s="12" t="n">
        <f aca="false">H12/Parametros!$B$6</f>
        <v>263.435194942044</v>
      </c>
      <c r="J12" s="22" t="n">
        <f aca="false">H12*G12</f>
        <v>75000</v>
      </c>
      <c r="K12" s="10" t="s">
        <v>141</v>
      </c>
      <c r="L12" s="6"/>
    </row>
    <row r="13" customFormat="false" ht="15" hidden="false" customHeight="false" outlineLevel="0" collapsed="false">
      <c r="A13" s="10" t="n">
        <v>9</v>
      </c>
      <c r="B13" s="10" t="s">
        <v>151</v>
      </c>
      <c r="C13" s="10" t="s">
        <v>147</v>
      </c>
      <c r="D13" s="26" t="s">
        <v>144</v>
      </c>
      <c r="E13" s="10" t="s">
        <v>103</v>
      </c>
      <c r="F13" s="10" t="s">
        <v>140</v>
      </c>
      <c r="G13" s="27" t="n">
        <f aca="false">IF(F13="Departamento",Parametros!$B$9,Parametros!$B$10)</f>
        <v>0.05</v>
      </c>
      <c r="H13" s="28" t="n">
        <v>1250000</v>
      </c>
      <c r="I13" s="12" t="n">
        <f aca="false">H13/Parametros!$B$6</f>
        <v>219.52932911837</v>
      </c>
      <c r="J13" s="22" t="n">
        <f aca="false">H13*G13</f>
        <v>62500</v>
      </c>
      <c r="K13" s="10" t="s">
        <v>141</v>
      </c>
      <c r="L13" s="6"/>
    </row>
    <row r="14" customFormat="false" ht="15" hidden="false" customHeight="false" outlineLevel="0" collapsed="false">
      <c r="A14" s="10" t="n">
        <v>10</v>
      </c>
      <c r="B14" s="10" t="s">
        <v>152</v>
      </c>
      <c r="C14" s="10" t="s">
        <v>153</v>
      </c>
      <c r="D14" s="26" t="s">
        <v>144</v>
      </c>
      <c r="E14" s="10" t="s">
        <v>103</v>
      </c>
      <c r="F14" s="10" t="s">
        <v>140</v>
      </c>
      <c r="G14" s="27" t="n">
        <f aca="false">IF(F14="Departamento",Parametros!$B$9,Parametros!$B$10)</f>
        <v>0.05</v>
      </c>
      <c r="H14" s="28" t="n">
        <v>1300000</v>
      </c>
      <c r="I14" s="12" t="n">
        <f aca="false">H14/Parametros!$B$6</f>
        <v>228.310502283105</v>
      </c>
      <c r="J14" s="22" t="n">
        <f aca="false">H14*G14</f>
        <v>65000</v>
      </c>
      <c r="K14" s="10" t="s">
        <v>141</v>
      </c>
      <c r="L14" s="6"/>
    </row>
    <row r="15" customFormat="false" ht="15" hidden="false" customHeight="false" outlineLevel="0" collapsed="false">
      <c r="A15" s="10" t="n">
        <v>11</v>
      </c>
      <c r="B15" s="10" t="s">
        <v>154</v>
      </c>
      <c r="C15" s="10" t="s">
        <v>153</v>
      </c>
      <c r="D15" s="26" t="s">
        <v>155</v>
      </c>
      <c r="E15" s="10" t="s">
        <v>156</v>
      </c>
      <c r="F15" s="10" t="s">
        <v>140</v>
      </c>
      <c r="G15" s="27" t="n">
        <f aca="false">IF(F15="Departamento",Parametros!$B$9,Parametros!$B$10)</f>
        <v>0.05</v>
      </c>
      <c r="H15" s="28" t="n">
        <v>1600000</v>
      </c>
      <c r="I15" s="12" t="n">
        <f aca="false">H15/Parametros!$B$6</f>
        <v>280.997541271514</v>
      </c>
      <c r="J15" s="22" t="n">
        <f aca="false">H15*G15</f>
        <v>80000</v>
      </c>
      <c r="K15" s="10" t="s">
        <v>141</v>
      </c>
      <c r="L15" s="6"/>
    </row>
    <row r="16" customFormat="false" ht="15" hidden="false" customHeight="false" outlineLevel="0" collapsed="false">
      <c r="A16" s="10" t="n">
        <v>12</v>
      </c>
      <c r="B16" s="10" t="s">
        <v>157</v>
      </c>
      <c r="C16" s="10" t="s">
        <v>158</v>
      </c>
      <c r="D16" s="26" t="s">
        <v>144</v>
      </c>
      <c r="E16" s="10" t="s">
        <v>103</v>
      </c>
      <c r="F16" s="10" t="s">
        <v>140</v>
      </c>
      <c r="G16" s="27" t="n">
        <f aca="false">IF(F16="Departamento",Parametros!$B$9,Parametros!$B$10)</f>
        <v>0.05</v>
      </c>
      <c r="H16" s="28" t="n">
        <v>1200000</v>
      </c>
      <c r="I16" s="12" t="n">
        <f aca="false">H16/Parametros!$B$6</f>
        <v>210.748155953635</v>
      </c>
      <c r="J16" s="22" t="n">
        <f aca="false">H16*G16</f>
        <v>60000</v>
      </c>
      <c r="K16" s="10" t="s">
        <v>141</v>
      </c>
      <c r="L16" s="6"/>
    </row>
    <row r="17" customFormat="false" ht="15" hidden="false" customHeight="false" outlineLevel="0" collapsed="false">
      <c r="A17" s="10" t="n">
        <v>13</v>
      </c>
      <c r="B17" s="10" t="s">
        <v>159</v>
      </c>
      <c r="C17" s="10" t="s">
        <v>158</v>
      </c>
      <c r="D17" s="26" t="s">
        <v>144</v>
      </c>
      <c r="E17" s="10" t="s">
        <v>103</v>
      </c>
      <c r="F17" s="10" t="s">
        <v>140</v>
      </c>
      <c r="G17" s="27" t="n">
        <f aca="false">IF(F17="Departamento",Parametros!$B$9,Parametros!$B$10)</f>
        <v>0.05</v>
      </c>
      <c r="H17" s="28" t="n">
        <v>900000</v>
      </c>
      <c r="I17" s="12" t="n">
        <f aca="false">H17/Parametros!$B$6</f>
        <v>158.061116965227</v>
      </c>
      <c r="J17" s="22" t="n">
        <f aca="false">H17*G17</f>
        <v>45000</v>
      </c>
      <c r="K17" s="10" t="s">
        <v>141</v>
      </c>
      <c r="L17" s="6"/>
    </row>
    <row r="18" customFormat="false" ht="15" hidden="false" customHeight="false" outlineLevel="0" collapsed="false">
      <c r="A18" s="10" t="n">
        <v>14</v>
      </c>
      <c r="B18" s="10" t="s">
        <v>160</v>
      </c>
      <c r="C18" s="10" t="s">
        <v>158</v>
      </c>
      <c r="D18" s="26" t="s">
        <v>161</v>
      </c>
      <c r="E18" s="10" t="s">
        <v>162</v>
      </c>
      <c r="F18" s="10" t="s">
        <v>161</v>
      </c>
      <c r="G18" s="27" t="n">
        <f aca="false">IF(F18="Departamento",Parametros!$B$9,Parametros!$B$10)</f>
        <v>0.1</v>
      </c>
      <c r="H18" s="28" t="n">
        <v>700000</v>
      </c>
      <c r="I18" s="12" t="n">
        <f aca="false">H18/Parametros!$B$6</f>
        <v>122.936424306287</v>
      </c>
      <c r="J18" s="22" t="n">
        <f aca="false">H18*G18</f>
        <v>70000</v>
      </c>
      <c r="K18" s="10" t="s">
        <v>141</v>
      </c>
      <c r="L18" s="6" t="s">
        <v>163</v>
      </c>
    </row>
    <row r="19" customFormat="false" ht="23.85" hidden="false" customHeight="false" outlineLevel="0" collapsed="false">
      <c r="A19" s="10" t="n">
        <v>15</v>
      </c>
      <c r="B19" s="10" t="s">
        <v>164</v>
      </c>
      <c r="C19" s="10" t="s">
        <v>158</v>
      </c>
      <c r="D19" s="26" t="s">
        <v>165</v>
      </c>
      <c r="E19" s="10" t="s">
        <v>166</v>
      </c>
      <c r="F19" s="10" t="s">
        <v>167</v>
      </c>
      <c r="G19" s="27" t="n">
        <f aca="false">IF(F19="Departamento",Parametros!$B$9,Parametros!$B$10)</f>
        <v>0.1</v>
      </c>
      <c r="H19" s="28" t="n">
        <v>1200000</v>
      </c>
      <c r="I19" s="12" t="n">
        <f aca="false">H19/Parametros!$B$6</f>
        <v>210.748155953635</v>
      </c>
      <c r="J19" s="22" t="n">
        <f aca="false">H19*G19</f>
        <v>120000</v>
      </c>
      <c r="K19" s="10" t="s">
        <v>141</v>
      </c>
      <c r="L19" s="6" t="s">
        <v>168</v>
      </c>
    </row>
    <row r="20" customFormat="false" ht="15" hidden="false" customHeight="false" outlineLevel="0" collapsed="false">
      <c r="G20" s="4" t="s">
        <v>169</v>
      </c>
      <c r="H20" s="29" t="n">
        <f aca="false">SUM(H5:H19)</f>
        <v>19550000</v>
      </c>
      <c r="I20" s="13" t="n">
        <f aca="false">SUM(I5:I19)</f>
        <v>3433.43870741131</v>
      </c>
      <c r="J20" s="29" t="n">
        <f aca="false">SUM(J5:J19)</f>
        <v>1072500</v>
      </c>
    </row>
    <row r="22" customFormat="false" ht="15" hidden="false" customHeight="false" outlineLevel="0" collapsed="false">
      <c r="A22" s="2" t="s">
        <v>170</v>
      </c>
    </row>
    <row r="23" customFormat="false" ht="15" hidden="false" customHeight="false" outlineLevel="0" collapsed="false">
      <c r="A23" s="2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50"/>
  </cols>
  <sheetData>
    <row r="1" customFormat="false" ht="16.1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32</v>
      </c>
      <c r="B4" s="3" t="s">
        <v>173</v>
      </c>
      <c r="C4" s="3" t="s">
        <v>174</v>
      </c>
      <c r="D4" s="3" t="s">
        <v>175</v>
      </c>
      <c r="E4" s="3" t="s">
        <v>176</v>
      </c>
      <c r="F4" s="3" t="s">
        <v>15</v>
      </c>
    </row>
    <row r="5" customFormat="false" ht="15" hidden="false" customHeight="false" outlineLevel="0" collapsed="false">
      <c r="A5" s="4" t="s">
        <v>177</v>
      </c>
      <c r="B5" s="18" t="n">
        <v>6</v>
      </c>
      <c r="C5" s="23" t="n">
        <f aca="false">COUNTIFS(Alquileres_Unidad!$E$5:$E$19,"1 dormitorio")</f>
        <v>6</v>
      </c>
      <c r="D5" s="30" t="n">
        <f aca="false">C5-B5</f>
        <v>0</v>
      </c>
      <c r="E5" s="10" t="str">
        <f aca="false">IF(D5=0,"Coincide","Revisar")</f>
        <v>Coincide</v>
      </c>
    </row>
    <row r="6" customFormat="false" ht="15" hidden="false" customHeight="false" outlineLevel="0" collapsed="false">
      <c r="A6" s="4" t="s">
        <v>178</v>
      </c>
      <c r="B6" s="18" t="n">
        <v>6</v>
      </c>
      <c r="C6" s="23" t="n">
        <f aca="false">COUNTIFS(Alquileres_Unidad!$E$5:$E$19,"2 dormitorios")</f>
        <v>6</v>
      </c>
      <c r="D6" s="30" t="n">
        <f aca="false">C6-B6</f>
        <v>0</v>
      </c>
      <c r="E6" s="10" t="str">
        <f aca="false">IF(D6=0,"Coincide","Revisar")</f>
        <v>Coincide</v>
      </c>
    </row>
    <row r="7" customFormat="false" ht="15" hidden="false" customHeight="false" outlineLevel="0" collapsed="false">
      <c r="A7" s="4" t="s">
        <v>179</v>
      </c>
      <c r="B7" s="18" t="n">
        <v>1</v>
      </c>
      <c r="C7" s="23" t="n">
        <f aca="false">COUNTIFS(Alquileres_Unidad!$E$5:$E$19,"3 dormitorios")</f>
        <v>1</v>
      </c>
      <c r="D7" s="30" t="n">
        <f aca="false">C7-B7</f>
        <v>0</v>
      </c>
      <c r="E7" s="10" t="str">
        <f aca="false">IF(D7=0,"Coincide","Revisar")</f>
        <v>Coincide</v>
      </c>
    </row>
    <row r="8" customFormat="false" ht="23.85" hidden="false" customHeight="false" outlineLevel="0" collapsed="false">
      <c r="A8" s="4" t="s">
        <v>180</v>
      </c>
      <c r="B8" s="18" t="n">
        <v>1</v>
      </c>
      <c r="C8" s="23" t="n">
        <f aca="false">COUNTIFS(Alquileres_Unidad!$F$5:$F$19,"Local comercial")</f>
        <v>0</v>
      </c>
      <c r="D8" s="30" t="n">
        <f aca="false">C8-B8</f>
        <v>-1</v>
      </c>
      <c r="E8" s="10" t="str">
        <f aca="false">IF(D8=0,"Coincide","Revisar")</f>
        <v>Revisar</v>
      </c>
      <c r="F8" s="6" t="s">
        <v>181</v>
      </c>
    </row>
    <row r="9" customFormat="false" ht="15" hidden="false" customHeight="false" outlineLevel="0" collapsed="false">
      <c r="A9" s="4" t="s">
        <v>161</v>
      </c>
      <c r="B9" s="18" t="n">
        <v>0</v>
      </c>
      <c r="C9" s="23" t="n">
        <f aca="false">COUNTIFS(Alquileres_Unidad!$F$5:$F$19,"Cochera")</f>
        <v>1</v>
      </c>
      <c r="D9" s="30" t="n">
        <f aca="false">C9-B9</f>
        <v>1</v>
      </c>
      <c r="E9" s="10" t="str">
        <f aca="false">IF(D9=0,"Coincide","Revisar")</f>
        <v>Revisar</v>
      </c>
    </row>
    <row r="10" customFormat="false" ht="15" hidden="false" customHeight="false" outlineLevel="0" collapsed="false">
      <c r="A10" s="4" t="s">
        <v>167</v>
      </c>
      <c r="B10" s="18" t="n">
        <v>0</v>
      </c>
      <c r="C10" s="23" t="n">
        <f aca="false">COUNTIFS(Alquileres_Unidad!$F$5:$F$19,"Cochera y departamento")</f>
        <v>1</v>
      </c>
      <c r="D10" s="30" t="n">
        <f aca="false">C10-B10</f>
        <v>1</v>
      </c>
      <c r="E10" s="10" t="str">
        <f aca="false">IF(D10=0,"Coincide","Revisar")</f>
        <v>Revisar</v>
      </c>
    </row>
    <row r="12" customFormat="false" ht="15" hidden="false" customHeight="false" outlineLevel="0" collapsed="false">
      <c r="A12" s="4" t="s">
        <v>182</v>
      </c>
      <c r="B12" s="11" t="n">
        <f aca="false">Alquileres_Unidad!$H$20</f>
        <v>19550000</v>
      </c>
      <c r="C12" s="28" t="n">
        <v>19550000</v>
      </c>
      <c r="D12" s="22" t="n">
        <f aca="false">B12-C12</f>
        <v>0</v>
      </c>
      <c r="E12" s="10" t="str">
        <f aca="false">IF(D12=0,"Suma correcta","DIFERENCIA")</f>
        <v>Suma correcta</v>
      </c>
    </row>
    <row r="14" customFormat="false" ht="16.15" hidden="false" customHeight="false" outlineLevel="0" collapsed="false">
      <c r="A14" s="9" t="s">
        <v>183</v>
      </c>
    </row>
    <row r="15" customFormat="false" ht="30" hidden="false" customHeight="true" outlineLevel="0" collapsed="false">
      <c r="A15" s="3" t="s">
        <v>130</v>
      </c>
      <c r="B15" s="3" t="s">
        <v>184</v>
      </c>
      <c r="C15" s="3" t="s">
        <v>133</v>
      </c>
      <c r="D15" s="3" t="s">
        <v>134</v>
      </c>
      <c r="E15" s="3" t="s">
        <v>185</v>
      </c>
      <c r="F15" s="3"/>
    </row>
    <row r="16" customFormat="false" ht="15" hidden="false" customHeight="false" outlineLevel="0" collapsed="false">
      <c r="A16" s="4" t="s">
        <v>138</v>
      </c>
      <c r="B16" s="23" t="n">
        <f aca="false">COUNTIFS(Alquileres_Unidad!$C$5:$C$19,A16)</f>
        <v>4</v>
      </c>
      <c r="C16" s="22" t="n">
        <f aca="false">SUMIFS(Alquileres_Unidad!$H$5:$H$19,Alquileres_Unidad!$C$5:$C$19,A16)</f>
        <v>5300000</v>
      </c>
      <c r="D16" s="8" t="n">
        <f aca="false">C16/Parametros!$B$6</f>
        <v>930.80435546189</v>
      </c>
      <c r="E16" s="14" t="n">
        <f aca="false">C16/$C$20</f>
        <v>0.271099744245524</v>
      </c>
    </row>
    <row r="17" customFormat="false" ht="15" hidden="false" customHeight="false" outlineLevel="0" collapsed="false">
      <c r="A17" s="4" t="s">
        <v>147</v>
      </c>
      <c r="B17" s="23" t="n">
        <f aca="false">COUNTIFS(Alquileres_Unidad!$C$5:$C$19,A17)</f>
        <v>5</v>
      </c>
      <c r="C17" s="22" t="n">
        <f aca="false">SUMIFS(Alquileres_Unidad!$H$5:$H$19,Alquileres_Unidad!$C$5:$C$19,A17)</f>
        <v>7350000</v>
      </c>
      <c r="D17" s="8" t="n">
        <f aca="false">C17/Parametros!$B$6</f>
        <v>1290.83245521602</v>
      </c>
      <c r="E17" s="14" t="n">
        <f aca="false">C17/$C$20</f>
        <v>0.375959079283887</v>
      </c>
    </row>
    <row r="18" customFormat="false" ht="15" hidden="false" customHeight="false" outlineLevel="0" collapsed="false">
      <c r="A18" s="4" t="s">
        <v>153</v>
      </c>
      <c r="B18" s="23" t="n">
        <f aca="false">COUNTIFS(Alquileres_Unidad!$C$5:$C$19,A18)</f>
        <v>2</v>
      </c>
      <c r="C18" s="22" t="n">
        <f aca="false">SUMIFS(Alquileres_Unidad!$H$5:$H$19,Alquileres_Unidad!$C$5:$C$19,A18)</f>
        <v>2900000</v>
      </c>
      <c r="D18" s="8" t="n">
        <f aca="false">C18/Parametros!$B$6</f>
        <v>509.308043554619</v>
      </c>
      <c r="E18" s="14" t="n">
        <f aca="false">C18/$C$20</f>
        <v>0.148337595907928</v>
      </c>
    </row>
    <row r="19" customFormat="false" ht="15" hidden="false" customHeight="false" outlineLevel="0" collapsed="false">
      <c r="A19" s="4" t="s">
        <v>158</v>
      </c>
      <c r="B19" s="23" t="n">
        <f aca="false">COUNTIFS(Alquileres_Unidad!$C$5:$C$19,A19)</f>
        <v>4</v>
      </c>
      <c r="C19" s="22" t="n">
        <f aca="false">SUMIFS(Alquileres_Unidad!$H$5:$H$19,Alquileres_Unidad!$C$5:$C$19,A19)</f>
        <v>4000000</v>
      </c>
      <c r="D19" s="8" t="n">
        <f aca="false">C19/Parametros!$B$6</f>
        <v>702.493853178785</v>
      </c>
      <c r="E19" s="14" t="n">
        <f aca="false">C19/$C$20</f>
        <v>0.20460358056266</v>
      </c>
    </row>
    <row r="20" customFormat="false" ht="15" hidden="false" customHeight="false" outlineLevel="0" collapsed="false">
      <c r="A20" s="4" t="s">
        <v>186</v>
      </c>
      <c r="B20" s="19" t="n">
        <f aca="false">SUM(B16:B19)</f>
        <v>15</v>
      </c>
      <c r="C20" s="29" t="n">
        <f aca="false">SUM(C16:C19)</f>
        <v>19550000</v>
      </c>
      <c r="D20" s="13" t="n">
        <f aca="false">SUM(D16:D19)</f>
        <v>3433.43870741131</v>
      </c>
      <c r="E20" s="31" t="n">
        <f aca="false">SUM(E16:E19)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5" min="4" style="0" width="16"/>
  </cols>
  <sheetData>
    <row r="1" customFormat="false" ht="16.1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4" customFormat="false" ht="15" hidden="false" customHeight="false" outlineLevel="0" collapsed="false">
      <c r="A4" s="32" t="s">
        <v>189</v>
      </c>
    </row>
    <row r="5" customFormat="false" ht="30" hidden="false" customHeight="true" outlineLevel="0" collapsed="false">
      <c r="A5" s="3" t="s">
        <v>190</v>
      </c>
      <c r="B5" s="3" t="s">
        <v>191</v>
      </c>
      <c r="C5" s="3" t="s">
        <v>192</v>
      </c>
    </row>
    <row r="6" customFormat="false" ht="15" hidden="false" customHeight="false" outlineLevel="0" collapsed="false">
      <c r="A6" s="26"/>
      <c r="B6" s="26" t="s">
        <v>193</v>
      </c>
      <c r="C6" s="26"/>
    </row>
    <row r="7" customFormat="false" ht="15" hidden="false" customHeight="false" outlineLevel="0" collapsed="false">
      <c r="A7" s="26"/>
      <c r="B7" s="26" t="s">
        <v>138</v>
      </c>
      <c r="C7" s="26"/>
    </row>
    <row r="8" customFormat="false" ht="15" hidden="false" customHeight="false" outlineLevel="0" collapsed="false">
      <c r="A8" s="26" t="s">
        <v>194</v>
      </c>
      <c r="B8" s="26" t="s">
        <v>139</v>
      </c>
      <c r="C8" s="28" t="n">
        <v>1500000</v>
      </c>
    </row>
    <row r="9" customFormat="false" ht="15" hidden="false" customHeight="false" outlineLevel="0" collapsed="false">
      <c r="A9" s="26" t="s">
        <v>194</v>
      </c>
      <c r="B9" s="26" t="s">
        <v>139</v>
      </c>
      <c r="C9" s="28" t="n">
        <v>1500000</v>
      </c>
    </row>
    <row r="10" customFormat="false" ht="15" hidden="false" customHeight="false" outlineLevel="0" collapsed="false">
      <c r="A10" s="26" t="s">
        <v>194</v>
      </c>
      <c r="B10" s="26" t="s">
        <v>144</v>
      </c>
      <c r="C10" s="28" t="n">
        <v>1200000</v>
      </c>
    </row>
    <row r="11" customFormat="false" ht="15" hidden="false" customHeight="false" outlineLevel="0" collapsed="false">
      <c r="A11" s="26" t="s">
        <v>194</v>
      </c>
      <c r="B11" s="26" t="s">
        <v>144</v>
      </c>
      <c r="C11" s="28" t="n">
        <v>1100000</v>
      </c>
    </row>
    <row r="12" customFormat="false" ht="15" hidden="false" customHeight="false" outlineLevel="0" collapsed="false">
      <c r="A12" s="26"/>
      <c r="B12" s="26" t="s">
        <v>147</v>
      </c>
      <c r="C12" s="26"/>
    </row>
    <row r="13" customFormat="false" ht="15" hidden="false" customHeight="false" outlineLevel="0" collapsed="false">
      <c r="A13" s="26" t="s">
        <v>194</v>
      </c>
      <c r="B13" s="26" t="s">
        <v>139</v>
      </c>
      <c r="C13" s="28" t="n">
        <v>1600000</v>
      </c>
    </row>
    <row r="14" customFormat="false" ht="15" hidden="false" customHeight="false" outlineLevel="0" collapsed="false">
      <c r="A14" s="26" t="s">
        <v>194</v>
      </c>
      <c r="B14" s="26" t="s">
        <v>139</v>
      </c>
      <c r="C14" s="28" t="n">
        <v>1500000</v>
      </c>
    </row>
    <row r="15" customFormat="false" ht="15" hidden="false" customHeight="false" outlineLevel="0" collapsed="false">
      <c r="A15" s="26" t="s">
        <v>194</v>
      </c>
      <c r="B15" s="26" t="s">
        <v>139</v>
      </c>
      <c r="C15" s="28" t="n">
        <v>1500000</v>
      </c>
    </row>
    <row r="16" customFormat="false" ht="15" hidden="false" customHeight="false" outlineLevel="0" collapsed="false">
      <c r="A16" s="26" t="s">
        <v>194</v>
      </c>
      <c r="B16" s="26" t="s">
        <v>139</v>
      </c>
      <c r="C16" s="28" t="n">
        <v>1500000</v>
      </c>
    </row>
    <row r="17" customFormat="false" ht="15" hidden="false" customHeight="false" outlineLevel="0" collapsed="false">
      <c r="A17" s="26" t="s">
        <v>194</v>
      </c>
      <c r="B17" s="26" t="s">
        <v>144</v>
      </c>
      <c r="C17" s="28" t="n">
        <v>1250000</v>
      </c>
    </row>
    <row r="18" customFormat="false" ht="15" hidden="false" customHeight="false" outlineLevel="0" collapsed="false">
      <c r="A18" s="26"/>
      <c r="B18" s="26" t="s">
        <v>153</v>
      </c>
      <c r="C18" s="26"/>
    </row>
    <row r="19" customFormat="false" ht="15" hidden="false" customHeight="false" outlineLevel="0" collapsed="false">
      <c r="A19" s="26" t="s">
        <v>194</v>
      </c>
      <c r="B19" s="26" t="s">
        <v>144</v>
      </c>
      <c r="C19" s="28" t="n">
        <v>1300000</v>
      </c>
    </row>
    <row r="20" customFormat="false" ht="15" hidden="false" customHeight="false" outlineLevel="0" collapsed="false">
      <c r="A20" s="26" t="s">
        <v>194</v>
      </c>
      <c r="B20" s="26" t="s">
        <v>155</v>
      </c>
      <c r="C20" s="28" t="n">
        <v>1600000</v>
      </c>
    </row>
    <row r="21" customFormat="false" ht="15" hidden="false" customHeight="false" outlineLevel="0" collapsed="false">
      <c r="A21" s="26"/>
      <c r="B21" s="26" t="s">
        <v>195</v>
      </c>
      <c r="C21" s="26"/>
    </row>
    <row r="22" customFormat="false" ht="15" hidden="false" customHeight="false" outlineLevel="0" collapsed="false">
      <c r="A22" s="26" t="s">
        <v>194</v>
      </c>
      <c r="B22" s="26" t="s">
        <v>144</v>
      </c>
      <c r="C22" s="28" t="n">
        <v>1200000</v>
      </c>
    </row>
    <row r="23" customFormat="false" ht="15" hidden="false" customHeight="false" outlineLevel="0" collapsed="false">
      <c r="A23" s="26" t="s">
        <v>194</v>
      </c>
      <c r="B23" s="26" t="s">
        <v>144</v>
      </c>
      <c r="C23" s="28" t="n">
        <v>900000</v>
      </c>
    </row>
    <row r="24" customFormat="false" ht="15" hidden="false" customHeight="false" outlineLevel="0" collapsed="false">
      <c r="A24" s="26" t="s">
        <v>194</v>
      </c>
      <c r="B24" s="26" t="s">
        <v>161</v>
      </c>
      <c r="C24" s="28" t="n">
        <v>700000</v>
      </c>
    </row>
    <row r="25" customFormat="false" ht="15" hidden="false" customHeight="false" outlineLevel="0" collapsed="false">
      <c r="A25" s="26" t="s">
        <v>194</v>
      </c>
      <c r="B25" s="26" t="s">
        <v>165</v>
      </c>
      <c r="C25" s="28" t="n">
        <v>1200000</v>
      </c>
    </row>
    <row r="26" customFormat="false" ht="15" hidden="false" customHeight="false" outlineLevel="0" collapsed="false">
      <c r="A26" s="26"/>
      <c r="B26" s="26" t="s">
        <v>169</v>
      </c>
      <c r="C26" s="28" t="n">
        <v>19550000</v>
      </c>
    </row>
    <row r="27" customFormat="false" ht="15" hidden="false" customHeight="false" outlineLevel="0" collapsed="false">
      <c r="A27" s="26" t="s">
        <v>196</v>
      </c>
      <c r="B27" s="33" t="n">
        <v>6100</v>
      </c>
      <c r="C27" s="28" t="n">
        <v>3205</v>
      </c>
    </row>
    <row r="28" customFormat="false" ht="15" hidden="false" customHeight="false" outlineLevel="0" collapsed="false">
      <c r="A28" s="2" t="s">
        <v>197</v>
      </c>
    </row>
    <row r="30" customFormat="false" ht="15" hidden="false" customHeight="false" outlineLevel="0" collapsed="false">
      <c r="A30" s="32" t="s">
        <v>198</v>
      </c>
    </row>
    <row r="31" customFormat="false" ht="30" hidden="false" customHeight="true" outlineLevel="0" collapsed="false">
      <c r="A31" s="3" t="s">
        <v>199</v>
      </c>
      <c r="B31" s="3" t="s">
        <v>200</v>
      </c>
      <c r="C31" s="3" t="s">
        <v>201</v>
      </c>
      <c r="D31" s="3" t="s">
        <v>202</v>
      </c>
      <c r="E31" s="3" t="s">
        <v>203</v>
      </c>
    </row>
    <row r="32" customFormat="false" ht="15" hidden="false" customHeight="false" outlineLevel="0" collapsed="false">
      <c r="A32" s="26" t="n">
        <v>340000</v>
      </c>
      <c r="B32" s="26" t="s">
        <v>204</v>
      </c>
      <c r="C32" s="26" t="n">
        <v>3205</v>
      </c>
      <c r="D32" s="26" t="n">
        <v>19550000</v>
      </c>
      <c r="E32" s="26" t="s">
        <v>205</v>
      </c>
    </row>
    <row r="33" customFormat="false" ht="15" hidden="false" customHeight="false" outlineLevel="0" collapsed="false">
      <c r="A33" s="26"/>
      <c r="B33" s="26" t="s">
        <v>206</v>
      </c>
      <c r="C33" s="26" t="n">
        <v>2764</v>
      </c>
      <c r="D33" s="26"/>
      <c r="E33" s="26" t="s">
        <v>207</v>
      </c>
    </row>
    <row r="34" customFormat="false" ht="15" hidden="false" customHeight="false" outlineLevel="0" collapsed="false">
      <c r="A34" s="26"/>
      <c r="B34" s="26" t="s">
        <v>208</v>
      </c>
      <c r="C34" s="26" t="n">
        <v>1200</v>
      </c>
      <c r="D34" s="26"/>
      <c r="E34" s="26" t="s">
        <v>209</v>
      </c>
    </row>
    <row r="35" customFormat="false" ht="15" hidden="false" customHeight="false" outlineLevel="0" collapsed="false">
      <c r="A35" s="26"/>
      <c r="B35" s="26" t="s">
        <v>210</v>
      </c>
      <c r="C35" s="26"/>
      <c r="D35" s="26"/>
      <c r="E35" s="26" t="s">
        <v>211</v>
      </c>
    </row>
    <row r="36" customFormat="false" ht="15" hidden="false" customHeight="false" outlineLevel="0" collapsed="false">
      <c r="A36" s="26"/>
      <c r="B36" s="26" t="s">
        <v>212</v>
      </c>
      <c r="C36" s="26" t="s">
        <v>213</v>
      </c>
      <c r="D36" s="26"/>
      <c r="E36" s="26"/>
    </row>
    <row r="37" customFormat="false" ht="15" hidden="false" customHeight="false" outlineLevel="0" collapsed="false">
      <c r="A37" s="26" t="s">
        <v>214</v>
      </c>
      <c r="B37" s="26" t="s">
        <v>215</v>
      </c>
      <c r="C37" s="26"/>
      <c r="D37" s="26"/>
      <c r="E37" s="26" t="s">
        <v>216</v>
      </c>
    </row>
    <row r="38" customFormat="false" ht="15" hidden="false" customHeight="false" outlineLevel="0" collapsed="false">
      <c r="A38" s="2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219</v>
      </c>
      <c r="B4" s="3" t="s">
        <v>3</v>
      </c>
      <c r="C4" s="3" t="s">
        <v>220</v>
      </c>
      <c r="D4" s="3" t="s">
        <v>221</v>
      </c>
    </row>
    <row r="5" customFormat="false" ht="15" hidden="false" customHeight="false" outlineLevel="0" collapsed="false">
      <c r="A5" s="4" t="s">
        <v>222</v>
      </c>
      <c r="B5" s="34" t="n">
        <v>340000</v>
      </c>
      <c r="C5" s="10" t="s">
        <v>223</v>
      </c>
      <c r="D5" s="6" t="s">
        <v>224</v>
      </c>
    </row>
    <row r="6" customFormat="false" ht="35.05" hidden="false" customHeight="false" outlineLevel="0" collapsed="false">
      <c r="A6" s="4" t="s">
        <v>225</v>
      </c>
      <c r="B6" s="33" t="n">
        <v>5694</v>
      </c>
      <c r="C6" s="10" t="s">
        <v>226</v>
      </c>
      <c r="D6" s="6" t="s">
        <v>227</v>
      </c>
    </row>
    <row r="7" customFormat="false" ht="15" hidden="false" customHeight="false" outlineLevel="0" collapsed="false">
      <c r="A7" s="4" t="s">
        <v>228</v>
      </c>
      <c r="B7" s="26" t="s">
        <v>229</v>
      </c>
      <c r="C7" s="10" t="s">
        <v>226</v>
      </c>
      <c r="D7" s="6" t="s">
        <v>230</v>
      </c>
    </row>
    <row r="8" customFormat="false" ht="15" hidden="false" customHeight="false" outlineLevel="0" collapsed="false">
      <c r="A8" s="4" t="s">
        <v>231</v>
      </c>
      <c r="B8" s="33" t="n">
        <v>6100</v>
      </c>
      <c r="C8" s="10" t="s">
        <v>232</v>
      </c>
      <c r="D8" s="6" t="s">
        <v>233</v>
      </c>
    </row>
    <row r="9" customFormat="false" ht="15" hidden="false" customHeight="false" outlineLevel="0" collapsed="false">
      <c r="A9" s="4" t="s">
        <v>234</v>
      </c>
      <c r="B9" s="35" t="n">
        <v>0.05</v>
      </c>
      <c r="C9" s="10" t="s">
        <v>223</v>
      </c>
      <c r="D9" s="6" t="s">
        <v>235</v>
      </c>
    </row>
    <row r="10" customFormat="false" ht="23.85" hidden="false" customHeight="false" outlineLevel="0" collapsed="false">
      <c r="A10" s="4" t="s">
        <v>236</v>
      </c>
      <c r="B10" s="35" t="n">
        <v>0.1</v>
      </c>
      <c r="C10" s="10" t="s">
        <v>223</v>
      </c>
      <c r="D10" s="6" t="s">
        <v>237</v>
      </c>
    </row>
    <row r="11" customFormat="false" ht="15" hidden="false" customHeight="false" outlineLevel="0" collapsed="false">
      <c r="A11" s="4" t="s">
        <v>238</v>
      </c>
      <c r="B11" s="35" t="n">
        <v>0.03</v>
      </c>
      <c r="C11" s="36" t="s">
        <v>239</v>
      </c>
      <c r="D11" s="6" t="s">
        <v>240</v>
      </c>
    </row>
    <row r="12" customFormat="false" ht="15" hidden="false" customHeight="false" outlineLevel="0" collapsed="false">
      <c r="A12" s="4" t="s">
        <v>241</v>
      </c>
      <c r="B12" s="35" t="n">
        <v>0.08</v>
      </c>
      <c r="C12" s="36" t="s">
        <v>239</v>
      </c>
      <c r="D12" s="6" t="s">
        <v>242</v>
      </c>
    </row>
    <row r="13" customFormat="false" ht="35.05" hidden="false" customHeight="false" outlineLevel="0" collapsed="false">
      <c r="A13" s="4" t="s">
        <v>243</v>
      </c>
      <c r="B13" s="35" t="n">
        <v>0.05</v>
      </c>
      <c r="C13" s="36" t="s">
        <v>244</v>
      </c>
      <c r="D13" s="6" t="s">
        <v>245</v>
      </c>
    </row>
    <row r="14" customFormat="false" ht="15" hidden="false" customHeight="false" outlineLevel="0" collapsed="false">
      <c r="A14" s="4" t="s">
        <v>246</v>
      </c>
      <c r="B14" s="34" t="n">
        <v>1200</v>
      </c>
      <c r="C14" s="10" t="s">
        <v>223</v>
      </c>
      <c r="D14" s="6" t="s">
        <v>247</v>
      </c>
    </row>
    <row r="15" customFormat="false" ht="23.85" hidden="false" customHeight="false" outlineLevel="0" collapsed="false">
      <c r="A15" s="4" t="s">
        <v>248</v>
      </c>
      <c r="B15" s="35" t="n">
        <v>0.1</v>
      </c>
      <c r="C15" s="36" t="s">
        <v>249</v>
      </c>
      <c r="D15" s="6" t="s">
        <v>250</v>
      </c>
    </row>
    <row r="16" customFormat="false" ht="15" hidden="false" customHeight="false" outlineLevel="0" collapsed="false">
      <c r="A16" s="4" t="s">
        <v>251</v>
      </c>
      <c r="B16" s="37" t="n">
        <v>0.015</v>
      </c>
      <c r="C16" s="10" t="s">
        <v>223</v>
      </c>
      <c r="D16" s="6" t="s">
        <v>252</v>
      </c>
    </row>
    <row r="17" customFormat="false" ht="15" hidden="false" customHeight="false" outlineLevel="0" collapsed="false">
      <c r="A17" s="4" t="s">
        <v>253</v>
      </c>
      <c r="B17" s="37" t="n">
        <v>0.03</v>
      </c>
      <c r="C17" s="36" t="s">
        <v>254</v>
      </c>
      <c r="D17" s="6" t="s">
        <v>255</v>
      </c>
    </row>
    <row r="18" customFormat="false" ht="15" hidden="false" customHeight="false" outlineLevel="0" collapsed="false">
      <c r="A18" s="4" t="s">
        <v>256</v>
      </c>
      <c r="B18" s="37" t="n">
        <v>0.05</v>
      </c>
      <c r="C18" s="36" t="s">
        <v>254</v>
      </c>
      <c r="D18" s="6" t="s">
        <v>257</v>
      </c>
    </row>
    <row r="19" customFormat="false" ht="15" hidden="false" customHeight="false" outlineLevel="0" collapsed="false">
      <c r="A19" s="4" t="s">
        <v>258</v>
      </c>
      <c r="B19" s="37" t="n">
        <v>0.08</v>
      </c>
      <c r="C19" s="36" t="s">
        <v>254</v>
      </c>
      <c r="D19" s="6" t="s">
        <v>259</v>
      </c>
    </row>
    <row r="20" customFormat="false" ht="15" hidden="false" customHeight="false" outlineLevel="0" collapsed="false">
      <c r="A20" s="4" t="s">
        <v>260</v>
      </c>
      <c r="B20" s="37" t="n">
        <v>0.02</v>
      </c>
      <c r="C20" s="36" t="s">
        <v>254</v>
      </c>
      <c r="D20" s="6" t="s">
        <v>261</v>
      </c>
    </row>
    <row r="21" customFormat="false" ht="15" hidden="false" customHeight="false" outlineLevel="0" collapsed="false">
      <c r="A21" s="4" t="s">
        <v>262</v>
      </c>
      <c r="B21" s="37" t="n">
        <v>0.035</v>
      </c>
      <c r="C21" s="36" t="s">
        <v>254</v>
      </c>
      <c r="D21" s="6" t="s">
        <v>261</v>
      </c>
    </row>
    <row r="22" customFormat="false" ht="15" hidden="false" customHeight="false" outlineLevel="0" collapsed="false">
      <c r="A22" s="4" t="s">
        <v>263</v>
      </c>
      <c r="B22" s="37" t="n">
        <v>0.05</v>
      </c>
      <c r="C22" s="36" t="s">
        <v>254</v>
      </c>
      <c r="D22" s="6" t="s">
        <v>261</v>
      </c>
    </row>
    <row r="23" customFormat="false" ht="23.85" hidden="false" customHeight="false" outlineLevel="0" collapsed="false">
      <c r="A23" s="4" t="s">
        <v>264</v>
      </c>
      <c r="B23" s="28" t="n">
        <v>3000000</v>
      </c>
      <c r="C23" s="10" t="s">
        <v>265</v>
      </c>
      <c r="D23" s="6" t="s">
        <v>266</v>
      </c>
    </row>
    <row r="24" customFormat="false" ht="15" hidden="false" customHeight="false" outlineLevel="0" collapsed="false">
      <c r="A24" s="4" t="s">
        <v>267</v>
      </c>
      <c r="B24" s="28" t="n">
        <v>3200000</v>
      </c>
      <c r="C24" s="10" t="s">
        <v>265</v>
      </c>
      <c r="D24" s="6" t="s">
        <v>268</v>
      </c>
    </row>
    <row r="25" customFormat="false" ht="23.85" hidden="false" customHeight="false" outlineLevel="0" collapsed="false">
      <c r="A25" s="4" t="s">
        <v>269</v>
      </c>
      <c r="B25" s="28" t="n">
        <v>2100000</v>
      </c>
      <c r="C25" s="10" t="s">
        <v>265</v>
      </c>
      <c r="D25" s="6" t="s">
        <v>270</v>
      </c>
    </row>
    <row r="26" customFormat="false" ht="15" hidden="false" customHeight="false" outlineLevel="0" collapsed="false">
      <c r="A26" s="4" t="s">
        <v>271</v>
      </c>
      <c r="B26" s="28" t="n">
        <v>6300000</v>
      </c>
      <c r="C26" s="10" t="s">
        <v>265</v>
      </c>
      <c r="D26" s="6" t="s">
        <v>268</v>
      </c>
    </row>
    <row r="27" customFormat="false" ht="23.85" hidden="false" customHeight="false" outlineLevel="0" collapsed="false">
      <c r="A27" s="4" t="s">
        <v>272</v>
      </c>
      <c r="B27" s="28" t="n">
        <v>2700000</v>
      </c>
      <c r="C27" s="10" t="s">
        <v>265</v>
      </c>
      <c r="D27" s="6" t="s">
        <v>273</v>
      </c>
    </row>
    <row r="28" customFormat="false" ht="15" hidden="false" customHeight="false" outlineLevel="0" collapsed="false">
      <c r="A28" s="4" t="s">
        <v>274</v>
      </c>
      <c r="B28" s="38" t="n">
        <v>11</v>
      </c>
      <c r="C28" s="10" t="s">
        <v>223</v>
      </c>
      <c r="D28" s="6" t="s">
        <v>275</v>
      </c>
    </row>
    <row r="29" customFormat="false" ht="15" hidden="false" customHeight="false" outlineLevel="0" collapsed="false">
      <c r="A29" s="4" t="s">
        <v>276</v>
      </c>
      <c r="B29" s="38" t="n">
        <v>31</v>
      </c>
      <c r="C29" s="10" t="s">
        <v>223</v>
      </c>
      <c r="D29" s="6" t="s">
        <v>275</v>
      </c>
    </row>
    <row r="30" customFormat="false" ht="23.85" hidden="false" customHeight="false" outlineLevel="0" collapsed="false">
      <c r="A30" s="4" t="s">
        <v>277</v>
      </c>
      <c r="B30" s="33" t="n">
        <v>340</v>
      </c>
      <c r="C30" s="10" t="s">
        <v>223</v>
      </c>
      <c r="D30" s="6" t="s">
        <v>278</v>
      </c>
    </row>
    <row r="31" customFormat="false" ht="15" hidden="false" customHeight="false" outlineLevel="0" collapsed="false">
      <c r="A31" s="4" t="s">
        <v>64</v>
      </c>
      <c r="B31" s="33" t="n">
        <v>1109</v>
      </c>
      <c r="C31" s="10" t="s">
        <v>223</v>
      </c>
      <c r="D31" s="6" t="s">
        <v>275</v>
      </c>
    </row>
    <row r="32" customFormat="false" ht="23.85" hidden="false" customHeight="false" outlineLevel="0" collapsed="false">
      <c r="A32" s="4" t="s">
        <v>279</v>
      </c>
      <c r="B32" s="34" t="n">
        <v>650</v>
      </c>
      <c r="C32" s="36" t="s">
        <v>244</v>
      </c>
      <c r="D32" s="6" t="s">
        <v>280</v>
      </c>
    </row>
    <row r="33" customFormat="false" ht="23.85" hidden="false" customHeight="false" outlineLevel="0" collapsed="false">
      <c r="A33" s="4" t="s">
        <v>281</v>
      </c>
      <c r="B33" s="34" t="n">
        <v>650000</v>
      </c>
      <c r="C33" s="10" t="s">
        <v>265</v>
      </c>
      <c r="D33" s="6" t="s">
        <v>282</v>
      </c>
    </row>
    <row r="34" customFormat="false" ht="15" hidden="false" customHeight="false" outlineLevel="0" collapsed="false">
      <c r="A34" s="4" t="s">
        <v>283</v>
      </c>
      <c r="B34" s="18" t="n">
        <v>9</v>
      </c>
      <c r="C34" s="10" t="s">
        <v>265</v>
      </c>
      <c r="D34" s="6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2026-10-10T15:33:28Z</dcterms:created>
  <dc:creator>openpyxl</dc:creator>
  <dc:description/>
  <dc:language>en-US</dc:language>
  <cp:lastModifiedBy/>
  <dcterms:modified xsi:type="dcterms:W3CDTF">2026-10-10T15:33:28Z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